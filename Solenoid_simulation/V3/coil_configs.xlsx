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500" firstSheet="0" activeTab="0" autoFilterDateGrouping="1"/>
  </bookViews>
  <sheets>
    <sheet xmlns:r="http://schemas.openxmlformats.org/officeDocument/2006/relationships" name="Config_Coil" sheetId="1" state="visible" r:id="rId1"/>
    <sheet xmlns:r="http://schemas.openxmlformats.org/officeDocument/2006/relationships" name="Config_Magnet" sheetId="2" state="visible" r:id="rId2"/>
    <sheet xmlns:r="http://schemas.openxmlformats.org/officeDocument/2006/relationships" name="Bobinage_Fabrication" sheetId="3" state="visible" r:id="rId3"/>
    <sheet xmlns:r="http://schemas.openxmlformats.org/officeDocument/2006/relationships" name="Electrique" sheetId="4" state="visible" r:id="rId4"/>
    <sheet xmlns:r="http://schemas.openxmlformats.org/officeDocument/2006/relationships" name="Mesures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000"/>
    <numFmt numFmtId="167" formatCode="0.0%"/>
    <numFmt numFmtId="168" formatCode="0.000000"/>
    <numFmt numFmtId="169" formatCode="0.0000"/>
    <numFmt numFmtId="170" formatCode="0.00\%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color rgb="FF555555"/>
      <sz val="9"/>
    </font>
    <font>
      <name val="Arial"/>
      <charset val="1"/>
      <b val="1"/>
      <color rgb="FFFFFFFF"/>
      <sz val="11"/>
    </font>
    <font>
      <name val="Arial"/>
      <charset val="1"/>
      <color rgb="FF1155CC"/>
      <sz val="11"/>
    </font>
    <font>
      <name val="Arial"/>
      <charset val="1"/>
      <color rgb="FF000000"/>
      <sz val="11"/>
    </font>
    <font>
      <name val="Arial"/>
      <charset val="1"/>
      <b val="1"/>
      <sz val="11"/>
    </font>
  </fonts>
  <fills count="8">
    <fill>
      <patternFill/>
    </fill>
    <fill>
      <patternFill patternType="gray125"/>
    </fill>
    <fill>
      <patternFill patternType="solid">
        <fgColor rgb="FF2E5B8A"/>
        <bgColor rgb="FF1155CC"/>
      </patternFill>
    </fill>
    <fill>
      <patternFill patternType="solid">
        <fgColor rgb="FFE8F0E3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3F7D4F"/>
        <bgColor rgb="FF555555"/>
      </patternFill>
    </fill>
    <fill>
      <patternFill patternType="solid">
        <fgColor rgb="FFF2F2F2"/>
        <bgColor rgb="FFE8F0E3"/>
      </patternFill>
    </fill>
    <fill>
      <patternFill patternType="solid">
        <fgColor rgb="FFB5651D"/>
        <bgColor rgb="FFFF66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2" fontId="5" fillId="0" borderId="1" pivotButton="0" quotePrefix="0" xfId="0"/>
    <xf numFmtId="9" fontId="4" fillId="3" borderId="1" pivotButton="0" quotePrefix="0" xfId="0"/>
    <xf numFmtId="1" fontId="5" fillId="0" borderId="1" pivotButton="0" quotePrefix="0" xfId="0"/>
    <xf numFmtId="164" fontId="4" fillId="3" borderId="1" pivotButton="0" quotePrefix="0" xfId="0"/>
    <xf numFmtId="164" fontId="5" fillId="0" borderId="1" pivotButton="0" quotePrefix="0" xfId="0"/>
    <xf numFmtId="0" fontId="5" fillId="6" borderId="1" pivotButton="0" quotePrefix="0" xfId="0"/>
    <xf numFmtId="164" fontId="5" fillId="6" borderId="1" pivotButton="0" quotePrefix="0" xfId="0"/>
    <xf numFmtId="164" fontId="5" fillId="4" borderId="1" pivotButton="0" quotePrefix="0" xfId="0"/>
    <xf numFmtId="0" fontId="6" fillId="0" borderId="0" applyAlignment="1" pivotButton="0" quotePrefix="0" xfId="0">
      <alignment horizontal="right"/>
    </xf>
    <xf numFmtId="2" fontId="4" fillId="4" borderId="1" pivotButton="0" quotePrefix="0" xfId="0"/>
    <xf numFmtId="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1" fontId="4" fillId="4" borderId="1" pivotButton="0" quotePrefix="0" xfId="0"/>
    <xf numFmtId="1" fontId="4" fillId="4" borderId="1" pivotButton="0" quotePrefix="0" xfId="0"/>
    <xf numFmtId="165" fontId="4" fillId="4" borderId="1" pivotButton="0" quotePrefix="0" xfId="0"/>
    <xf numFmtId="167" fontId="4" fillId="4" borderId="1" pivotButton="0" quotePrefix="0" xfId="0"/>
    <xf numFmtId="168" fontId="4" fillId="4" borderId="1" pivotButton="0" quotePrefix="0" xfId="0"/>
    <xf numFmtId="169" fontId="5" fillId="0" borderId="1" pivotButton="0" quotePrefix="0" xfId="0"/>
    <xf numFmtId="167" fontId="5" fillId="0" borderId="1" pivotButton="0" quotePrefix="0" xfId="0"/>
    <xf numFmtId="169" fontId="4" fillId="4" borderId="1" pivotButton="0" quotePrefix="0" xfId="0"/>
    <xf numFmtId="170" fontId="5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C0C0C0"/>
      <rgbColor rgb="FF6B8CAE"/>
      <rgbColor rgb="FF9999FF"/>
      <rgbColor rgb="FF993366"/>
      <rgbColor rgb="FFFFFDE7"/>
      <rgbColor rgb="FFF2F2F2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5EA7"/>
      <rgbColor rgb="FF969696"/>
      <rgbColor rgb="FF003366"/>
      <rgbColor rgb="FF3F7D4F"/>
      <rgbColor rgb="FF003300"/>
      <rgbColor rgb="FF333300"/>
      <rgbColor rgb="FF993300"/>
      <rgbColor rgb="FF993366"/>
      <rgbColor rgb="FF2E5B8A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B8A"/>
    <outlinePr summaryBelow="1" summaryRight="1"/>
    <pageSetUpPr/>
  </sheetPr>
  <dimension ref="A1:M25"/>
  <sheetViews>
    <sheetView tabSelected="1" zoomScaleNormal="100" workbookViewId="0">
      <pane ySplit="5" topLeftCell="A6" activePane="bottomLeft" state="frozen"/>
      <selection pane="bottomLeft" activeCell="F14" sqref="F14"/>
    </sheetView>
  </sheetViews>
  <sheetFormatPr baseColWidth="10" defaultColWidth="8.7109375" defaultRowHeight="15"/>
  <cols>
    <col width="24" customWidth="1" style="28" min="1" max="1"/>
    <col width="8" customWidth="1" style="28" min="2" max="3"/>
    <col width="9" customWidth="1" style="28" min="4" max="4"/>
    <col width="15" customWidth="1" style="28" min="5" max="5"/>
    <col width="18" customWidth="1" style="28" min="6" max="6"/>
    <col width="13" customWidth="1" style="28" min="7" max="7"/>
    <col width="8" customWidth="1" style="28" min="8" max="8"/>
    <col width="11" customWidth="1" style="28" min="9" max="9"/>
    <col width="12" customWidth="1" style="28" min="10" max="10"/>
    <col width="16" customWidth="1" style="28" min="11" max="11"/>
    <col width="15" customWidth="1" style="28" min="12" max="12"/>
    <col width="10" customWidth="1" style="28" min="13" max="13"/>
  </cols>
  <sheetData>
    <row r="1" ht="17.25" customHeight="1" s="28">
      <c r="A1" s="27" t="inlineStr">
        <is>
          <t>Configurations de bobines — comparaison / dimensionnement</t>
        </is>
      </c>
    </row>
    <row r="2" ht="75" customHeight="1" s="28">
      <c r="A2" s="29" t="inlineStr">
        <is>
          <t>Une ligne = une configuration de bobine. L'aimant N'EST PLUS fixe dans le code : chaque ligne pointe vers une definition d'aimant reutilisable via 'magnet_config' (voir l'onglet Config_Magnet — 'S-06-13-N48' fourni en exemple). turns (couche 0) CALCULE = INT(L_mm/wire_diameter_mm*packing_factor) (texte noir = ne pas modifier). Bobinage IMBRIQUE (orthocyclique) : -1 tour/couche, rayon +diametre*racine(3)/2 par couche. Pour ajouter des tours, joue sur 'layers'. wire_diameter_mm = diametre TOTAL du fil (cuivre + email). wire_copper_diameter_mm = diametre du CUIVRE NU, CALCULE AUTOMATIQUEMENT (texte noir) = wire_diameter_mm - 0.03mm (epaisseur d'email typique) — tape une valeur directement dans la cellule pour ecraser ce calcul si tu as mesure ton fil au pied a coulisse, ou si resistance_measured_ohm (onglet Mesures) indique un diametre effectif different. sens_courant = 'Attire' ou 'Repousse' (liste deroulante) : inverse le sens du courant dans la bobine, donc le sens de la force sur l'aimant (l'orientation de l'aimant lui-meme, definie dans Config_Magnet, reste inchangee). voltage_V = tension d'alim, le courant en resulte (loi d'Ohm). empty_bobbin_weight_g = poids support vide (guide de pesee). quantity = nombre de bobines identiques (cuivre total).</t>
        </is>
      </c>
    </row>
    <row r="3"/>
    <row r="5" ht="30" customHeight="1" s="28">
      <c r="A5" s="1" t="inlineStr">
        <is>
          <t>config_name</t>
        </is>
      </c>
      <c r="B5" s="1" t="inlineStr">
        <is>
          <t>R_mm</t>
        </is>
      </c>
      <c r="C5" s="1" t="inlineStr">
        <is>
          <t>L_mm</t>
        </is>
      </c>
      <c r="D5" s="1" t="inlineStr">
        <is>
          <t>layers</t>
        </is>
      </c>
      <c r="E5" s="1" t="inlineStr">
        <is>
          <t>wire_diameter_mm</t>
        </is>
      </c>
      <c r="F5" s="1" t="inlineStr">
        <is>
          <t>wire_copper_diameter_mm</t>
        </is>
      </c>
      <c r="G5" s="1" t="inlineStr">
        <is>
          <t>packing_factor</t>
        </is>
      </c>
      <c r="H5" s="1" t="inlineStr">
        <is>
          <t>turns</t>
        </is>
      </c>
      <c r="I5" s="1" t="inlineStr">
        <is>
          <t>voltage_V</t>
        </is>
      </c>
      <c r="J5" s="1" t="inlineStr">
        <is>
          <t>sens_courant</t>
        </is>
      </c>
      <c r="K5" s="1" t="inlineStr">
        <is>
          <t>magnet_config</t>
        </is>
      </c>
      <c r="L5" s="1" t="inlineStr">
        <is>
          <t>empty_bobbin_weight_g</t>
        </is>
      </c>
      <c r="M5" s="1" t="inlineStr">
        <is>
          <t>quantity</t>
        </is>
      </c>
    </row>
    <row r="6" ht="15" customHeight="1" s="28">
      <c r="A6" s="2" t="inlineStr">
        <is>
          <t>0,35_14</t>
        </is>
      </c>
      <c r="B6" s="3" t="n">
        <v>4</v>
      </c>
      <c r="C6" s="3" t="n">
        <v>28</v>
      </c>
      <c r="D6" s="4" t="n">
        <v>14</v>
      </c>
      <c r="E6" s="3" t="n">
        <v>0.35</v>
      </c>
      <c r="F6" s="5">
        <f>IF(A6="","",MAX(E6-0.05,E6*0.85))</f>
        <v/>
      </c>
      <c r="G6" s="6" t="n">
        <v>0.9</v>
      </c>
      <c r="H6" s="7">
        <f>IF(A6="","",INT(C6/E6*G6))</f>
        <v/>
      </c>
      <c r="I6" s="2" t="n">
        <v>24</v>
      </c>
      <c r="J6" s="2" t="inlineStr">
        <is>
          <t>Attire</t>
        </is>
      </c>
      <c r="K6" s="2" t="inlineStr">
        <is>
          <t>S-06-13-N48</t>
        </is>
      </c>
      <c r="L6" s="3" t="n">
        <v>1.7</v>
      </c>
      <c r="M6" s="4" t="n">
        <v>50</v>
      </c>
    </row>
    <row r="7" ht="15" customHeight="1" s="28">
      <c r="A7" s="2" t="n"/>
      <c r="B7" s="3" t="n"/>
      <c r="C7" s="3" t="n"/>
      <c r="D7" s="4" t="n"/>
      <c r="E7" s="3" t="n"/>
      <c r="F7" s="5">
        <f>IF(A7="","",MAX(E7-0.05,E7*0.85))</f>
        <v/>
      </c>
      <c r="G7" s="6" t="n">
        <v>0.8</v>
      </c>
      <c r="H7" s="7" t="n"/>
      <c r="I7" s="2" t="n"/>
      <c r="J7" s="2" t="n"/>
      <c r="K7" s="2" t="n"/>
      <c r="L7" s="3" t="n"/>
      <c r="M7" s="4" t="n"/>
    </row>
    <row r="8" ht="15" customHeight="1" s="28">
      <c r="A8" s="2" t="n"/>
      <c r="B8" s="3" t="n"/>
      <c r="C8" s="3" t="n"/>
      <c r="D8" s="4" t="n"/>
      <c r="E8" s="3" t="n"/>
      <c r="F8" s="5" t="n"/>
      <c r="G8" s="6" t="n"/>
      <c r="H8" s="7" t="n"/>
      <c r="I8" s="2" t="n"/>
      <c r="J8" s="2" t="n"/>
      <c r="K8" s="2" t="n"/>
      <c r="L8" s="3" t="n"/>
      <c r="M8" s="4" t="n"/>
    </row>
    <row r="9" ht="15" customHeight="1" s="28">
      <c r="A9" s="2" t="n"/>
      <c r="B9" s="3" t="n"/>
      <c r="C9" s="3" t="n"/>
      <c r="D9" s="4" t="n"/>
      <c r="E9" s="3" t="n"/>
      <c r="F9" s="5" t="n"/>
      <c r="G9" s="6" t="n"/>
      <c r="H9" s="7" t="n"/>
      <c r="I9" s="2" t="n"/>
      <c r="J9" s="2" t="n"/>
      <c r="K9" s="2" t="n"/>
      <c r="L9" s="3" t="n"/>
      <c r="M9" s="4" t="n"/>
    </row>
    <row r="10" ht="15" customHeight="1" s="28">
      <c r="A10" s="2" t="n"/>
      <c r="B10" s="3" t="n"/>
      <c r="C10" s="3" t="n"/>
      <c r="D10" s="4" t="n"/>
      <c r="E10" s="3" t="n"/>
      <c r="F10" s="5" t="n"/>
      <c r="G10" s="6" t="n"/>
      <c r="H10" s="7" t="n"/>
      <c r="I10" s="2" t="n"/>
      <c r="J10" s="2" t="n"/>
      <c r="K10" s="2" t="n"/>
      <c r="L10" s="3" t="n"/>
      <c r="M10" s="4" t="n"/>
    </row>
    <row r="11" ht="15" customHeight="1" s="28">
      <c r="A11" s="2" t="n"/>
      <c r="B11" s="3" t="n"/>
      <c r="C11" s="3" t="n"/>
      <c r="D11" s="4" t="n"/>
      <c r="E11" s="3" t="n"/>
      <c r="F11" s="5" t="n"/>
      <c r="G11" s="6" t="n"/>
      <c r="H11" s="7" t="n"/>
      <c r="I11" s="2" t="n"/>
      <c r="J11" s="2" t="n"/>
      <c r="K11" s="2" t="n"/>
      <c r="L11" s="3" t="n"/>
      <c r="M11" s="4" t="n"/>
    </row>
    <row r="12" ht="15" customHeight="1" s="28">
      <c r="F12">
        <f>IF(A12="","",MAX(E12-0.03,E12*0.85))</f>
        <v/>
      </c>
      <c r="H12">
        <f>IF(A12="","",INT(C12/E12*G12))</f>
        <v/>
      </c>
    </row>
    <row r="13" ht="15" customHeight="1" s="28">
      <c r="F13">
        <f>IF(A13="","",MAX(E13-0.03,E13*0.85))</f>
        <v/>
      </c>
      <c r="H13">
        <f>IF(A13="","",INT(C13/E13*G13))</f>
        <v/>
      </c>
    </row>
    <row r="14" ht="15" customHeight="1" s="28">
      <c r="F14">
        <f>IF(A14="","",MAX(E14-0.03,E14*0.85))</f>
        <v/>
      </c>
      <c r="H14">
        <f>IF(A14="","",INT(C14/E14*G14))</f>
        <v/>
      </c>
    </row>
    <row r="15" ht="15" customHeight="1" s="28">
      <c r="F15">
        <f>IF(A15="","",MAX(E15-0.03,E15*0.85))</f>
        <v/>
      </c>
      <c r="H15">
        <f>IF(A15="","",INT(C15/E15*G15))</f>
        <v/>
      </c>
    </row>
    <row r="16" ht="15" customHeight="1" s="28">
      <c r="F16">
        <f>IF(A16="","",MAX(E16-0.03,E16*0.85))</f>
        <v/>
      </c>
      <c r="H16">
        <f>IF(A16="","",INT(C16/E16*G16))</f>
        <v/>
      </c>
    </row>
    <row r="17" ht="15" customHeight="1" s="28">
      <c r="F17">
        <f>IF(A17="","",MAX(E17-0.03,E17*0.85))</f>
        <v/>
      </c>
      <c r="H17">
        <f>IF(A17="","",INT(C17/E17*G17))</f>
        <v/>
      </c>
    </row>
    <row r="18" ht="15" customHeight="1" s="28">
      <c r="F18">
        <f>IF(A18="","",MAX(E18-0.03,E18*0.85))</f>
        <v/>
      </c>
      <c r="H18">
        <f>IF(A18="","",INT(C18/E18*G18))</f>
        <v/>
      </c>
    </row>
    <row r="19" ht="15" customHeight="1" s="28">
      <c r="F19">
        <f>IF(A19="","",MAX(E19-0.03,E19*0.85))</f>
        <v/>
      </c>
      <c r="H19">
        <f>IF(A19="","",INT(C19/E19*G19))</f>
        <v/>
      </c>
    </row>
    <row r="20" ht="15" customHeight="1" s="28">
      <c r="F20">
        <f>IF(A20="","",MAX(E20-0.03,E20*0.85))</f>
        <v/>
      </c>
      <c r="H20">
        <f>IF(A20="","",INT(C20/E20*G20))</f>
        <v/>
      </c>
    </row>
    <row r="21" ht="15" customHeight="1" s="28">
      <c r="F21">
        <f>IF(A21="","",MAX(E21-0.03,E21*0.85))</f>
        <v/>
      </c>
      <c r="H21">
        <f>IF(A21="","",INT(C21/E21*G21))</f>
        <v/>
      </c>
    </row>
    <row r="22" ht="15" customHeight="1" s="28">
      <c r="F22">
        <f>IF(A22="","",MAX(E22-0.03,E22*0.85))</f>
        <v/>
      </c>
      <c r="H22">
        <f>IF(A22="","",INT(C22/E22*G22))</f>
        <v/>
      </c>
    </row>
    <row r="23" ht="15" customHeight="1" s="28">
      <c r="F23">
        <f>IF(A23="","",MAX(E23-0.03,E23*0.85))</f>
        <v/>
      </c>
      <c r="H23">
        <f>IF(A23="","",INT(C23/E23*G23))</f>
        <v/>
      </c>
    </row>
    <row r="24" ht="15" customHeight="1" s="28">
      <c r="F24">
        <f>IF(A24="","",MAX(E24-0.03,E24*0.85))</f>
        <v/>
      </c>
      <c r="H24">
        <f>IF(A24="","",INT(C24/E24*G24))</f>
        <v/>
      </c>
    </row>
    <row r="25" ht="15" customHeight="1" s="28">
      <c r="F25">
        <f>IF(A25="","",MAX(E25-0.03,E25*0.85))</f>
        <v/>
      </c>
      <c r="H25">
        <f>IF(A25="","",INT(C25/E25*G25))</f>
        <v/>
      </c>
    </row>
  </sheetData>
  <mergeCells count="2">
    <mergeCell ref="A1:M1"/>
    <mergeCell ref="A2:M3"/>
  </mergeCells>
  <dataValidations count="1">
    <dataValidation sqref="J6:J25" showDropDown="0" showInputMessage="0" showErrorMessage="0" allowBlank="1" type="list">
      <formula1>"Attire,Repousse"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3F7D4F"/>
    <outlinePr summaryBelow="1" summaryRight="1"/>
    <pageSetUpPr/>
  </sheetPr>
  <dimension ref="A1:Q25"/>
  <sheetViews>
    <sheetView zoomScaleNormal="100" workbookViewId="0">
      <pane ySplit="5" topLeftCell="A6" activePane="bottomLeft" state="frozen"/>
      <selection pane="bottomLeft" activeCell="H10" sqref="H10"/>
    </sheetView>
  </sheetViews>
  <sheetFormatPr baseColWidth="10" defaultColWidth="8.7109375" defaultRowHeight="15"/>
  <cols>
    <col width="18" customWidth="1" style="28" min="1" max="1"/>
    <col width="11" customWidth="1" style="28" min="2" max="2"/>
    <col width="9" customWidth="1" style="28" min="3" max="3"/>
    <col width="13" customWidth="1" style="28" min="4" max="4"/>
    <col width="9" customWidth="1" style="28" min="5" max="5"/>
    <col width="10" customWidth="1" style="28" min="6" max="7"/>
    <col width="11" customWidth="1" style="28" min="8" max="8"/>
    <col width="9" customWidth="1" style="28" min="9" max="11"/>
    <col width="3" customWidth="1" style="28" min="13" max="13"/>
    <col width="9" customWidth="1" style="28" min="14" max="14"/>
    <col width="11" customWidth="1" style="28" min="15" max="17"/>
  </cols>
  <sheetData>
    <row r="1" ht="17.25" customHeight="1" s="28">
      <c r="A1" s="27" t="inlineStr">
        <is>
          <t>Configurations d'aimants — reutilisables, referencees depuis Config_Coil</t>
        </is>
      </c>
    </row>
    <row r="2" ht="75" customHeight="1" s="28">
      <c r="A2" s="29" t="inlineStr">
        <is>
          <t>Une ligne = un aimant reutilisable, reference depuis Config_Coil via 'magnet_config' (plusieurs bobines peuvent partager le meme aimant). shape = 'cylindre' ou 'carre' (liste deroulante) ; pour 'cylindre', dim1_mm = diametre et dim2_mm est ignore ; pour 'carre' (rectangulaire), dim1_mm et dim2_mm sont les deux cotes de la section. height_mm = epaisseur selon l'axe d'aimantation (les deux formes). grade = grade neodyme standard (liste deroulante, table de reference a droite) -&gt; Br_T = milieu de plage du grade choisi, calcule automatiquement (texte noir). Renseigne Br_override_T (bleu) si tu as la valeur Br exacte de la fiche technique : elle remplace alors le calcul automatique. Position de depart (x0_mm, y0_mm, z0_mm) = position du CENTRE de l'aimant, en mm, avec le CENTRE DE LA BOBINE a l'origine (0,0,0). La bobine (longueur L_mm, onglet Config_Coil) s'etend de -L/2 a +L/2 selon Z. Exemple : aimant pose a fleur du sommet de la bobine (gap=0) -&gt; z0_mm = L/2 + height_mm/2. x0/y0 permettent de simuler un aimant decale lateralement (hors axe).</t>
        </is>
      </c>
    </row>
    <row r="3"/>
    <row r="4" ht="26.85" customHeight="1" s="28">
      <c r="N4" s="31" t="inlineStr">
        <is>
          <t>Table de reference (grades neodyme standard)</t>
        </is>
      </c>
    </row>
    <row r="5" ht="42" customHeight="1" s="28">
      <c r="A5" s="1" t="inlineStr">
        <is>
          <t>magnet_config</t>
        </is>
      </c>
      <c r="B5" s="1" t="inlineStr">
        <is>
          <t>shape</t>
        </is>
      </c>
      <c r="C5" s="1" t="inlineStr">
        <is>
          <t>grade</t>
        </is>
      </c>
      <c r="D5" s="1" t="inlineStr">
        <is>
          <t>Br_override_T</t>
        </is>
      </c>
      <c r="E5" s="1" t="inlineStr">
        <is>
          <t>Br_T</t>
        </is>
      </c>
      <c r="F5" s="1" t="inlineStr">
        <is>
          <t>dim1_mm</t>
        </is>
      </c>
      <c r="G5" s="1" t="inlineStr">
        <is>
          <t>dim2_mm</t>
        </is>
      </c>
      <c r="H5" s="1" t="inlineStr">
        <is>
          <t>height_mm</t>
        </is>
      </c>
      <c r="I5" s="1" t="inlineStr">
        <is>
          <t>x0_mm</t>
        </is>
      </c>
      <c r="J5" s="1" t="inlineStr">
        <is>
          <t>y0_mm</t>
        </is>
      </c>
      <c r="K5" s="1" t="inlineStr">
        <is>
          <t>z0_mm</t>
        </is>
      </c>
      <c r="N5" s="1" t="inlineStr">
        <is>
          <t>Grade</t>
        </is>
      </c>
      <c r="O5" s="1" t="inlineStr">
        <is>
          <t>Br_min_T</t>
        </is>
      </c>
      <c r="P5" s="1" t="inlineStr">
        <is>
          <t>Br_max_T</t>
        </is>
      </c>
      <c r="Q5" s="1" t="inlineStr">
        <is>
          <t>Br_mid_T</t>
        </is>
      </c>
    </row>
    <row r="6" ht="15" customHeight="1" s="28">
      <c r="A6" s="2" t="inlineStr">
        <is>
          <t>S-06-13-N48</t>
        </is>
      </c>
      <c r="B6" s="2" t="inlineStr">
        <is>
          <t>cylindre</t>
        </is>
      </c>
      <c r="C6" s="2" t="inlineStr">
        <is>
          <t>N48</t>
        </is>
      </c>
      <c r="D6" s="8" t="n"/>
      <c r="E6" s="9">
        <f>IF(A6="","",IF(D6&lt;&gt;"",D6,IFERROR(INDEX($Q$6:$Q$14,MATCH(C6,$N$6:$N$14,0)),"")))</f>
        <v/>
      </c>
      <c r="F6" s="3" t="n">
        <v>6</v>
      </c>
      <c r="G6" s="3" t="n"/>
      <c r="H6" s="3" t="n">
        <v>13</v>
      </c>
      <c r="I6" s="3" t="n">
        <v>0</v>
      </c>
      <c r="J6" s="3" t="n">
        <v>0</v>
      </c>
      <c r="K6" s="3" t="n">
        <v>21.5</v>
      </c>
      <c r="N6" s="10" t="inlineStr">
        <is>
          <t>N35</t>
        </is>
      </c>
      <c r="O6" s="11" t="n">
        <v>1.17</v>
      </c>
      <c r="P6" s="11" t="n">
        <v>1.22</v>
      </c>
      <c r="Q6" s="11">
        <f>(O6+P6)/2</f>
        <v/>
      </c>
    </row>
    <row r="7" ht="15" customHeight="1" s="28">
      <c r="E7" s="12">
        <f>IF(A7="","",IF(D7&lt;&gt;"",D7,IFERROR(INDEX($Q$6:$Q$14,MATCH(C7,$N$6:$N$14,0)),"")))</f>
        <v/>
      </c>
      <c r="N7" s="10" t="inlineStr">
        <is>
          <t>N38</t>
        </is>
      </c>
      <c r="O7" s="11" t="n">
        <v>1.22</v>
      </c>
      <c r="P7" s="11" t="n">
        <v>1.25</v>
      </c>
      <c r="Q7" s="11">
        <f>(O7+P7)/2</f>
        <v/>
      </c>
    </row>
    <row r="8" ht="15" customHeight="1" s="28">
      <c r="E8" s="12">
        <f>IF(A8="","",IF(D8&lt;&gt;"",D8,IFERROR(INDEX($Q$6:$Q$14,MATCH(C8,$N$6:$N$14,0)),"")))</f>
        <v/>
      </c>
      <c r="N8" s="10" t="inlineStr">
        <is>
          <t>N40</t>
        </is>
      </c>
      <c r="O8" s="11" t="n">
        <v>1.25</v>
      </c>
      <c r="P8" s="11" t="n">
        <v>1.28</v>
      </c>
      <c r="Q8" s="11">
        <f>(O8+P8)/2</f>
        <v/>
      </c>
    </row>
    <row r="9" ht="15" customHeight="1" s="28">
      <c r="E9" s="12">
        <f>IF(A9="","",IF(D9&lt;&gt;"",D9,IFERROR(INDEX($Q$6:$Q$14,MATCH(C9,$N$6:$N$14,0)),"")))</f>
        <v/>
      </c>
      <c r="N9" s="10" t="inlineStr">
        <is>
          <t>N42</t>
        </is>
      </c>
      <c r="O9" s="11" t="n">
        <v>1.28</v>
      </c>
      <c r="P9" s="11" t="n">
        <v>1.32</v>
      </c>
      <c r="Q9" s="11">
        <f>(O9+P9)/2</f>
        <v/>
      </c>
    </row>
    <row r="10" ht="15" customHeight="1" s="28">
      <c r="E10" s="12">
        <f>IF(A10="","",IF(D10&lt;&gt;"",D10,IFERROR(INDEX($Q$6:$Q$14,MATCH(C10,$N$6:$N$14,0)),"")))</f>
        <v/>
      </c>
      <c r="N10" s="10" t="inlineStr">
        <is>
          <t>N45</t>
        </is>
      </c>
      <c r="O10" s="11" t="n">
        <v>1.32</v>
      </c>
      <c r="P10" s="11" t="n">
        <v>1.38</v>
      </c>
      <c r="Q10" s="11">
        <f>(O10+P10)/2</f>
        <v/>
      </c>
    </row>
    <row r="11" ht="15" customHeight="1" s="28">
      <c r="E11" s="12">
        <f>IF(A11="","",IF(D11&lt;&gt;"",D11,IFERROR(INDEX($Q$6:$Q$14,MATCH(C11,$N$6:$N$14,0)),"")))</f>
        <v/>
      </c>
      <c r="N11" s="10" t="inlineStr">
        <is>
          <t>N48</t>
        </is>
      </c>
      <c r="O11" s="11" t="n">
        <v>1.38</v>
      </c>
      <c r="P11" s="11" t="n">
        <v>1.42</v>
      </c>
      <c r="Q11" s="11">
        <f>(O11+P11)/2</f>
        <v/>
      </c>
    </row>
    <row r="12" ht="15" customHeight="1" s="28">
      <c r="E12" s="12">
        <f>IF(A12="","",IF(D12&lt;&gt;"",D12,IFERROR(INDEX($Q$6:$Q$14,MATCH(C12,$N$6:$N$14,0)),"")))</f>
        <v/>
      </c>
      <c r="N12" s="10" t="inlineStr">
        <is>
          <t>N50</t>
        </is>
      </c>
      <c r="O12" s="11" t="n">
        <v>1.4</v>
      </c>
      <c r="P12" s="11" t="n">
        <v>1.45</v>
      </c>
      <c r="Q12" s="11">
        <f>(O12+P12)/2</f>
        <v/>
      </c>
    </row>
    <row r="13" ht="15" customHeight="1" s="28">
      <c r="E13" s="12">
        <f>IF(A13="","",IF(D13&lt;&gt;"",D13,IFERROR(INDEX($Q$6:$Q$14,MATCH(C13,$N$6:$N$14,0)),"")))</f>
        <v/>
      </c>
      <c r="N13" s="10" t="inlineStr">
        <is>
          <t>N52</t>
        </is>
      </c>
      <c r="O13" s="11" t="n">
        <v>1.43</v>
      </c>
      <c r="P13" s="11" t="n">
        <v>1.48</v>
      </c>
      <c r="Q13" s="11">
        <f>(O13+P13)/2</f>
        <v/>
      </c>
    </row>
    <row r="14" ht="15" customHeight="1" s="28">
      <c r="E14" s="12">
        <f>IF(A14="","",IF(D14&lt;&gt;"",D14,IFERROR(INDEX($Q$6:$Q$14,MATCH(C14,$N$6:$N$14,0)),"")))</f>
        <v/>
      </c>
      <c r="N14" s="10" t="inlineStr">
        <is>
          <t>N55</t>
        </is>
      </c>
      <c r="O14" s="11" t="n">
        <v>1.47</v>
      </c>
      <c r="P14" s="11" t="n">
        <v>1.53</v>
      </c>
      <c r="Q14" s="11">
        <f>(O14+P14)/2</f>
        <v/>
      </c>
    </row>
    <row r="15" ht="15" customHeight="1" s="28">
      <c r="E15" s="12">
        <f>IF(A15="","",IF(D15&lt;&gt;"",D15,IFERROR(INDEX($Q$6:$Q$14,MATCH(C15,$N$6:$N$14,0)),"")))</f>
        <v/>
      </c>
    </row>
    <row r="16" ht="15" customHeight="1" s="28">
      <c r="E16" s="12">
        <f>IF(A16="","",IF(D16&lt;&gt;"",D16,IFERROR(INDEX($Q$6:$Q$14,MATCH(C16,$N$6:$N$14,0)),"")))</f>
        <v/>
      </c>
      <c r="N16" s="30" t="inlineStr">
        <is>
          <t>Source : magmamagnets.com — tableau des caracteristiques</t>
        </is>
      </c>
    </row>
    <row r="17" ht="15" customHeight="1" s="28">
      <c r="E17" s="12">
        <f>IF(A17="","",IF(D17&lt;&gt;"",D17,IFERROR(INDEX($Q$6:$Q$14,MATCH(C17,$N$6:$N$14,0)),"")))</f>
        <v/>
      </c>
      <c r="N17" s="30" t="inlineStr">
        <is>
          <t>magnetiques (grades N35-N55). Br_mid_T = milieu de plage.</t>
        </is>
      </c>
    </row>
    <row r="18" ht="15" customHeight="1" s="28">
      <c r="E18" s="12">
        <f>IF(A18="","",IF(D18&lt;&gt;"",D18,IFERROR(INDEX($Q$6:$Q$14,MATCH(C18,$N$6:$N$14,0)),"")))</f>
        <v/>
      </c>
    </row>
    <row r="19" ht="15" customHeight="1" s="28">
      <c r="E19" s="12">
        <f>IF(A19="","",IF(D19&lt;&gt;"",D19,IFERROR(INDEX($Q$6:$Q$14,MATCH(C19,$N$6:$N$14,0)),"")))</f>
        <v/>
      </c>
    </row>
    <row r="20" ht="15" customHeight="1" s="28">
      <c r="E20" s="12">
        <f>IF(A20="","",IF(D20&lt;&gt;"",D20,IFERROR(INDEX($Q$6:$Q$14,MATCH(C20,$N$6:$N$14,0)),"")))</f>
        <v/>
      </c>
    </row>
    <row r="21" ht="15" customHeight="1" s="28">
      <c r="E21" s="12">
        <f>IF(A21="","",IF(D21&lt;&gt;"",D21,IFERROR(INDEX($Q$6:$Q$14,MATCH(C21,$N$6:$N$14,0)),"")))</f>
        <v/>
      </c>
    </row>
    <row r="22" ht="15" customHeight="1" s="28">
      <c r="E22" s="12">
        <f>IF(A22="","",IF(D22&lt;&gt;"",D22,IFERROR(INDEX($Q$6:$Q$14,MATCH(C22,$N$6:$N$14,0)),"")))</f>
        <v/>
      </c>
    </row>
    <row r="23" ht="15" customHeight="1" s="28">
      <c r="E23" s="12">
        <f>IF(A23="","",IF(D23&lt;&gt;"",D23,IFERROR(INDEX($Q$6:$Q$14,MATCH(C23,$N$6:$N$14,0)),"")))</f>
        <v/>
      </c>
    </row>
    <row r="24" ht="15" customHeight="1" s="28">
      <c r="E24" s="12">
        <f>IF(A24="","",IF(D24&lt;&gt;"",D24,IFERROR(INDEX($Q$6:$Q$14,MATCH(C24,$N$6:$N$14,0)),"")))</f>
        <v/>
      </c>
    </row>
    <row r="25" ht="15" customHeight="1" s="28">
      <c r="E25" s="12">
        <f>IF(A25="","",IF(D25&lt;&gt;"",D25,IFERROR(INDEX($Q$6:$Q$14,MATCH(C25,$N$6:$N$14,0)),"")))</f>
        <v/>
      </c>
    </row>
  </sheetData>
  <mergeCells count="5">
    <mergeCell ref="N17:Q17"/>
    <mergeCell ref="N4:Q4"/>
    <mergeCell ref="A2:K3"/>
    <mergeCell ref="N16:Q16"/>
    <mergeCell ref="A1:K1"/>
  </mergeCells>
  <dataValidations disablePrompts="1" count="2">
    <dataValidation sqref="B6:B25" showDropDown="0" showInputMessage="0" showErrorMessage="0" allowBlank="1" type="list">
      <formula1>"cylindre,carre"</formula1>
      <formula2>0</formula2>
    </dataValidation>
    <dataValidation sqref="C6:C25" showDropDown="0" showInputMessage="0" showErrorMessage="0" allowBlank="1" type="list">
      <formula1>$N$6:$N$14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6B8CAE"/>
    <outlinePr summaryBelow="1" summaryRight="1"/>
    <pageSetUpPr/>
  </sheetPr>
  <dimension ref="A1:L25"/>
  <sheetViews>
    <sheetView zoomScaleNormal="100" workbookViewId="0">
      <pane ySplit="5" topLeftCell="A6" activePane="bottomLeft" state="frozen"/>
      <selection pane="bottomLeft" activeCell="C30" sqref="C30"/>
    </sheetView>
  </sheetViews>
  <sheetFormatPr baseColWidth="10" defaultColWidth="8.7109375" defaultRowHeight="15"/>
  <cols>
    <col width="22" customWidth="1" style="28" min="1" max="1"/>
    <col width="11" customWidth="1" style="28" min="2" max="2"/>
    <col width="12" customWidth="1" style="28" min="3" max="3"/>
    <col width="13" customWidth="1" style="28" min="4" max="4"/>
    <col width="14" customWidth="1" style="28" min="5" max="5"/>
    <col width="16" customWidth="1" style="28" min="6" max="6"/>
    <col width="18" customWidth="1" style="28" min="7" max="7"/>
    <col width="16" customWidth="1" style="28" min="8" max="8"/>
    <col width="13" customWidth="1" style="28" min="9" max="9"/>
    <col width="16" customWidth="1" style="28" min="10" max="10"/>
    <col width="9" customWidth="1" style="28" min="11" max="11"/>
    <col width="17" customWidth="1" style="28" min="12" max="12"/>
  </cols>
  <sheetData>
    <row r="1" ht="17.25" customHeight="1" s="28">
      <c r="A1" s="27" t="inlineStr">
        <is>
          <t>Bobinage — poids, longueur de fil et guide de fabrication</t>
        </is>
      </c>
    </row>
    <row r="2">
      <c r="A2" s="13" t="inlineStr">
        <is>
          <t>Densite Cu (g/cm3):</t>
        </is>
      </c>
      <c r="B2" s="14" t="n">
        <v>8.92</v>
      </c>
      <c r="C2" t="inlineStr">
        <is>
          <t>Cuivre étamé</t>
        </is>
      </c>
    </row>
    <row r="3" ht="60" customHeight="1" s="28">
      <c r="A3" s="29" t="inlineStr">
        <is>
          <t>Guide de realisation : dimensions, longueur de fil a couper et poids de cuivre pour chaque configuration (depuis Config_Coil). turns_total = somme des tours sur toutes les couches imbriquees. wire_length_m = longueur totale de fil a bobiner. copper_weight_target_g = poids de cuivre pour UNE bobine ; copper_weight_total_qty_g = pour 'quantity' bobines identiques. total_weight_target_g = poids d'une bobine finie (cuivre + support vide) ; total_weight_all_coils_g = poids total du lot complet. lateral_surface_m2 = surface laterale du bobinage (utilisee par l'onglet Electrique pour estimer la convection thermique).</t>
        </is>
      </c>
    </row>
    <row r="5" ht="36" customHeight="1" s="28">
      <c r="A5" s="1" t="inlineStr">
        <is>
          <t>config_name</t>
        </is>
      </c>
      <c r="B5" s="1" t="inlineStr">
        <is>
          <t>turns_total</t>
        </is>
      </c>
      <c r="C5" s="1" t="inlineStr">
        <is>
          <t>wire_length_m</t>
        </is>
      </c>
      <c r="D5" s="1" t="inlineStr">
        <is>
          <t>wire_section_mm2</t>
        </is>
      </c>
      <c r="E5" s="1" t="inlineStr">
        <is>
          <t>outer_diameter_mm</t>
        </is>
      </c>
      <c r="F5" s="1" t="inlineStr">
        <is>
          <t>copper_weight_target_g</t>
        </is>
      </c>
      <c r="G5" s="1" t="inlineStr">
        <is>
          <t>copper_weight_total_qty_g</t>
        </is>
      </c>
      <c r="H5" s="1" t="inlineStr">
        <is>
          <t>total_weight_target_g</t>
        </is>
      </c>
      <c r="I5" s="1" t="inlineStr">
        <is>
          <t>lateral_surface_m2</t>
        </is>
      </c>
      <c r="J5" s="1" t="inlineStr">
        <is>
          <t>empty_bobbin_weight_g</t>
        </is>
      </c>
      <c r="K5" s="1" t="inlineStr">
        <is>
          <t>quantity</t>
        </is>
      </c>
      <c r="L5" s="1" t="inlineStr">
        <is>
          <t>total_weight_all_coils_g</t>
        </is>
      </c>
    </row>
    <row r="6" ht="15" customHeight="1" s="28">
      <c r="A6" s="15">
        <f>IF(Config_Coil!A6="","",Config_Coil!A6)</f>
        <v/>
      </c>
      <c r="B6" s="7">
        <f>IF(Config_Coil!A6="","",Config_Coil!D6*Config_Coil!H6-Config_Coil!D6*(Config_Coil!D6-1)/2)</f>
        <v/>
      </c>
      <c r="C6" s="9">
        <f>IF(Config_Coil!A6="","",2*PI()*(Config_Coil!D6*Config_Coil!H6*(Config_Coil!B6/1000)+(Config_Coil!D6*(Config_Coil!D6-1)/2)*(Config_Coil!H6*(Config_Coil!E6/1000)*SQRT(3)/2-(Config_Coil!B6/1000))-((Config_Coil!E6/1000)*SQRT(3)/2)*((Config_Coil!D6-1)*Config_Coil!D6*(2*Config_Coil!D6-1)/6)))</f>
        <v/>
      </c>
      <c r="D6" s="9">
        <f>IF(Config_Coil!A6="","",PI()*(IF(Config_Coil!F6=0,Config_Coil!E6,Config_Coil!F6)/2)^2)</f>
        <v/>
      </c>
      <c r="E6" s="5">
        <f>IF(Config_Coil!A6="","",2*Config_Coil!B6+(Config_Coil!D6-1)*Config_Coil!E6*SQRT(3)+Config_Coil!E6)</f>
        <v/>
      </c>
      <c r="F6" s="5">
        <f>IF(Config_Coil!A6="","",$B$2*C6*D6)</f>
        <v/>
      </c>
      <c r="G6" s="16">
        <f>IF(Config_Coil!A6="","",F6*Config_Coil!M6)</f>
        <v/>
      </c>
      <c r="H6" s="5">
        <f>IF(Config_Coil!A6="","",Config_Coil!L6+F6)</f>
        <v/>
      </c>
      <c r="I6" s="17">
        <f>IF(Config_Coil!A6="","",2*PI()*((E6/2)/1000)*(Config_Coil!C6/1000))</f>
        <v/>
      </c>
      <c r="J6" s="5">
        <f>IF(Config_Coil!A6="","",Config_Coil!L6)</f>
        <v/>
      </c>
      <c r="K6" s="7">
        <f>IF(Config_Coil!A6="","",Config_Coil!M6)</f>
        <v/>
      </c>
      <c r="L6" s="16">
        <f>IF(H6="","",H6*Config_Coil!M6)</f>
        <v/>
      </c>
    </row>
    <row r="7" ht="15" customHeight="1" s="28">
      <c r="A7" s="15">
        <f>IF(Config_Coil!A7="","",Config_Coil!A7)</f>
        <v/>
      </c>
      <c r="B7" s="7">
        <f>IF(Config_Coil!A7="","",Config_Coil!D7*Config_Coil!H7-Config_Coil!D7*(Config_Coil!D7-1)/2)</f>
        <v/>
      </c>
      <c r="C7" s="9">
        <f>IF(Config_Coil!A7="","",2*PI()*(Config_Coil!D7*Config_Coil!H7*(Config_Coil!B7/1000)+(Config_Coil!D7*(Config_Coil!D7-1)/2)*(Config_Coil!H7*(Config_Coil!E7/1000)*SQRT(3)/2-(Config_Coil!B7/1000))-((Config_Coil!E7/1000)*SQRT(3)/2)*((Config_Coil!D7-1)*Config_Coil!D7*(2*Config_Coil!D7-1)/6)))</f>
        <v/>
      </c>
      <c r="D7" s="9">
        <f>IF(Config_Coil!A7="","",PI()*(IF(Config_Coil!F7=0,Config_Coil!E7,Config_Coil!F7)/2)^2)</f>
        <v/>
      </c>
      <c r="E7" s="5">
        <f>IF(Config_Coil!A7="","",2*Config_Coil!B7+(Config_Coil!D7-1)*Config_Coil!E7*SQRT(3)+Config_Coil!E7)</f>
        <v/>
      </c>
      <c r="F7" s="5">
        <f>IF(Config_Coil!A7="","",$B$2*C7*D7)</f>
        <v/>
      </c>
      <c r="G7" s="16">
        <f>IF(Config_Coil!A7="","",F7*Config_Coil!M7)</f>
        <v/>
      </c>
      <c r="H7" s="5">
        <f>IF(Config_Coil!A7="","",Config_Coil!L7+F7)</f>
        <v/>
      </c>
      <c r="I7" s="17">
        <f>IF(Config_Coil!A7="","",2*PI()*((E7/2)/1000)*(Config_Coil!C7/1000))</f>
        <v/>
      </c>
      <c r="J7" s="5">
        <f>IF(Config_Coil!A7="","",Config_Coil!L7)</f>
        <v/>
      </c>
      <c r="K7" s="7">
        <f>IF(Config_Coil!A7="","",Config_Coil!M7)</f>
        <v/>
      </c>
      <c r="L7" s="16">
        <f>IF(H7="","",H7*Config_Coil!M7)</f>
        <v/>
      </c>
    </row>
    <row r="8" ht="15" customHeight="1" s="28">
      <c r="A8" s="15">
        <f>IF(Config_Coil!A8="","",Config_Coil!A8)</f>
        <v/>
      </c>
      <c r="B8" s="7">
        <f>IF(Config_Coil!A8="","",Config_Coil!D8*Config_Coil!H8-Config_Coil!D8*(Config_Coil!D8-1)/2)</f>
        <v/>
      </c>
      <c r="C8" s="9">
        <f>IF(Config_Coil!A8="","",2*PI()*(Config_Coil!D8*Config_Coil!H8*(Config_Coil!B8/1000)+(Config_Coil!D8*(Config_Coil!D8-1)/2)*(Config_Coil!H8*(Config_Coil!E8/1000)*SQRT(3)/2-(Config_Coil!B8/1000))-((Config_Coil!E8/1000)*SQRT(3)/2)*((Config_Coil!D8-1)*Config_Coil!D8*(2*Config_Coil!D8-1)/6)))</f>
        <v/>
      </c>
      <c r="D8" s="9">
        <f>IF(Config_Coil!A8="","",PI()*(IF(Config_Coil!F8=0,Config_Coil!E8,Config_Coil!F8)/2)^2)</f>
        <v/>
      </c>
      <c r="E8" s="5">
        <f>IF(Config_Coil!A8="","",2*Config_Coil!B8+(Config_Coil!D8-1)*Config_Coil!E8*SQRT(3)+Config_Coil!E8)</f>
        <v/>
      </c>
      <c r="F8" s="5">
        <f>IF(Config_Coil!A8="","",$B$2*C8*D8)</f>
        <v/>
      </c>
      <c r="G8" s="16">
        <f>IF(Config_Coil!A8="","",F8*Config_Coil!M8)</f>
        <v/>
      </c>
      <c r="H8" s="5">
        <f>IF(Config_Coil!A8="","",Config_Coil!L8+F8)</f>
        <v/>
      </c>
      <c r="I8" s="17">
        <f>IF(Config_Coil!A8="","",2*PI()*((E8/2)/1000)*(Config_Coil!C8/1000))</f>
        <v/>
      </c>
      <c r="J8" s="5">
        <f>IF(Config_Coil!A8="","",Config_Coil!L8)</f>
        <v/>
      </c>
      <c r="K8" s="7">
        <f>IF(Config_Coil!A8="","",Config_Coil!M8)</f>
        <v/>
      </c>
      <c r="L8" s="16">
        <f>IF(H8="","",H8*Config_Coil!M8)</f>
        <v/>
      </c>
    </row>
    <row r="9" ht="15" customHeight="1" s="28">
      <c r="A9" s="15">
        <f>IF(Config_Coil!A9="","",Config_Coil!A9)</f>
        <v/>
      </c>
      <c r="B9" s="7">
        <f>IF(Config_Coil!A9="","",Config_Coil!D9*Config_Coil!H9-Config_Coil!D9*(Config_Coil!D9-1)/2)</f>
        <v/>
      </c>
      <c r="C9" s="9">
        <f>IF(Config_Coil!A9="","",2*PI()*(Config_Coil!D9*Config_Coil!H9*(Config_Coil!B9/1000)+(Config_Coil!D9*(Config_Coil!D9-1)/2)*(Config_Coil!H9*(Config_Coil!E9/1000)*SQRT(3)/2-(Config_Coil!B9/1000))-((Config_Coil!E9/1000)*SQRT(3)/2)*((Config_Coil!D9-1)*Config_Coil!D9*(2*Config_Coil!D9-1)/6)))</f>
        <v/>
      </c>
      <c r="D9" s="9">
        <f>IF(Config_Coil!A9="","",PI()*(IF(Config_Coil!F9=0,Config_Coil!E9,Config_Coil!F9)/2)^2)</f>
        <v/>
      </c>
      <c r="E9" s="5">
        <f>IF(Config_Coil!A9="","",2*Config_Coil!B9+(Config_Coil!D9-1)*Config_Coil!E9*SQRT(3)+Config_Coil!E9)</f>
        <v/>
      </c>
      <c r="F9" s="5">
        <f>IF(Config_Coil!A9="","",$B$2*C9*D9)</f>
        <v/>
      </c>
      <c r="G9" s="16">
        <f>IF(Config_Coil!A9="","",F9*Config_Coil!M9)</f>
        <v/>
      </c>
      <c r="H9" s="5">
        <f>IF(Config_Coil!A9="","",Config_Coil!L9+F9)</f>
        <v/>
      </c>
      <c r="I9" s="17">
        <f>IF(Config_Coil!A9="","",2*PI()*((E9/2)/1000)*(Config_Coil!C9/1000))</f>
        <v/>
      </c>
      <c r="J9" s="5">
        <f>IF(Config_Coil!A9="","",Config_Coil!L9)</f>
        <v/>
      </c>
      <c r="K9" s="7">
        <f>IF(Config_Coil!A9="","",Config_Coil!M9)</f>
        <v/>
      </c>
      <c r="L9" s="16">
        <f>IF(H9="","",H9*Config_Coil!M9)</f>
        <v/>
      </c>
    </row>
    <row r="10" ht="15" customHeight="1" s="28">
      <c r="A10" s="15">
        <f>IF(Config_Coil!A10="","",Config_Coil!A10)</f>
        <v/>
      </c>
      <c r="B10" s="7">
        <f>IF(Config_Coil!A10="","",Config_Coil!D10*Config_Coil!H10-Config_Coil!D10*(Config_Coil!D10-1)/2)</f>
        <v/>
      </c>
      <c r="C10" s="9">
        <f>IF(Config_Coil!A10="","",2*PI()*(Config_Coil!D10*Config_Coil!H10*(Config_Coil!B10/1000)+(Config_Coil!D10*(Config_Coil!D10-1)/2)*(Config_Coil!H10*(Config_Coil!E10/1000)*SQRT(3)/2-(Config_Coil!B10/1000))-((Config_Coil!E10/1000)*SQRT(3)/2)*((Config_Coil!D10-1)*Config_Coil!D10*(2*Config_Coil!D10-1)/6)))</f>
        <v/>
      </c>
      <c r="D10" s="9">
        <f>IF(Config_Coil!A10="","",PI()*(IF(Config_Coil!F10=0,Config_Coil!E10,Config_Coil!F10)/2)^2)</f>
        <v/>
      </c>
      <c r="E10" s="5">
        <f>IF(Config_Coil!A10="","",2*Config_Coil!B10+(Config_Coil!D10-1)*Config_Coil!E10*SQRT(3)+Config_Coil!E10)</f>
        <v/>
      </c>
      <c r="F10" s="5">
        <f>IF(Config_Coil!A10="","",$B$2*C10*D10)</f>
        <v/>
      </c>
      <c r="G10" s="16">
        <f>IF(Config_Coil!A10="","",F10*Config_Coil!M10)</f>
        <v/>
      </c>
      <c r="H10" s="5">
        <f>IF(Config_Coil!A10="","",Config_Coil!L10+F10)</f>
        <v/>
      </c>
      <c r="I10" s="17">
        <f>IF(Config_Coil!A10="","",2*PI()*((E10/2)/1000)*(Config_Coil!C10/1000))</f>
        <v/>
      </c>
      <c r="J10" s="5">
        <f>IF(Config_Coil!A10="","",Config_Coil!L10)</f>
        <v/>
      </c>
      <c r="K10" s="7">
        <f>IF(Config_Coil!A10="","",Config_Coil!M10)</f>
        <v/>
      </c>
      <c r="L10" s="16">
        <f>IF(H10="","",H10*Config_Coil!M10)</f>
        <v/>
      </c>
    </row>
    <row r="11" ht="15" customHeight="1" s="28">
      <c r="A11" s="15">
        <f>IF(Config_Coil!A11="","",Config_Coil!A11)</f>
        <v/>
      </c>
      <c r="B11" s="7">
        <f>IF(Config_Coil!A11="","",Config_Coil!D11*Config_Coil!H11-Config_Coil!D11*(Config_Coil!D11-1)/2)</f>
        <v/>
      </c>
      <c r="C11" s="9">
        <f>IF(Config_Coil!A11="","",2*PI()*(Config_Coil!D11*Config_Coil!H11*(Config_Coil!B11/1000)+(Config_Coil!D11*(Config_Coil!D11-1)/2)*(Config_Coil!H11*(Config_Coil!E11/1000)*SQRT(3)/2-(Config_Coil!B11/1000))-((Config_Coil!E11/1000)*SQRT(3)/2)*((Config_Coil!D11-1)*Config_Coil!D11*(2*Config_Coil!D11-1)/6)))</f>
        <v/>
      </c>
      <c r="D11" s="9">
        <f>IF(Config_Coil!A11="","",PI()*(IF(Config_Coil!F11=0,Config_Coil!E11,Config_Coil!F11)/2)^2)</f>
        <v/>
      </c>
      <c r="E11" s="5">
        <f>IF(Config_Coil!A11="","",2*Config_Coil!B11+(Config_Coil!D11-1)*Config_Coil!E11*SQRT(3)+Config_Coil!E11)</f>
        <v/>
      </c>
      <c r="F11" s="5">
        <f>IF(Config_Coil!A11="","",$B$2*C11*D11)</f>
        <v/>
      </c>
      <c r="G11" s="16">
        <f>IF(Config_Coil!A11="","",F11*Config_Coil!M11)</f>
        <v/>
      </c>
      <c r="H11" s="5">
        <f>IF(Config_Coil!A11="","",Config_Coil!L11+F11)</f>
        <v/>
      </c>
      <c r="I11" s="17">
        <f>IF(Config_Coil!A11="","",2*PI()*((E11/2)/1000)*(Config_Coil!C11/1000))</f>
        <v/>
      </c>
      <c r="J11" s="5">
        <f>IF(Config_Coil!A11="","",Config_Coil!L11)</f>
        <v/>
      </c>
      <c r="K11" s="7">
        <f>IF(Config_Coil!A11="","",Config_Coil!M11)</f>
        <v/>
      </c>
      <c r="L11" s="16">
        <f>IF(H11="","",H11*Config_Coil!M11)</f>
        <v/>
      </c>
    </row>
    <row r="12" ht="15" customHeight="1" s="28">
      <c r="A12" s="15">
        <f>IF(Config_Coil!A12="","",Config_Coil!A12)</f>
        <v/>
      </c>
      <c r="B12" s="7">
        <f>IF(Config_Coil!A12="","",Config_Coil!D12*Config_Coil!H12-Config_Coil!D12*(Config_Coil!D12-1)/2)</f>
        <v/>
      </c>
      <c r="C12" s="9">
        <f>IF(Config_Coil!A12="","",2*PI()*(Config_Coil!D12*Config_Coil!H12*(Config_Coil!B12/1000)+(Config_Coil!D12*(Config_Coil!D12-1)/2)*(Config_Coil!H12*(Config_Coil!E12/1000)*SQRT(3)/2-(Config_Coil!B12/1000))-((Config_Coil!E12/1000)*SQRT(3)/2)*((Config_Coil!D12-1)*Config_Coil!D12*(2*Config_Coil!D12-1)/6)))</f>
        <v/>
      </c>
      <c r="D12" s="9">
        <f>IF(Config_Coil!A12="","",PI()*(IF(Config_Coil!F12=0,Config_Coil!E12,Config_Coil!F12)/2)^2)</f>
        <v/>
      </c>
      <c r="E12" s="5">
        <f>IF(Config_Coil!A12="","",2*Config_Coil!B12+(Config_Coil!D12-1)*Config_Coil!E12*SQRT(3)+Config_Coil!E12)</f>
        <v/>
      </c>
      <c r="F12" s="5">
        <f>IF(Config_Coil!A12="","",$B$2*C12*D12)</f>
        <v/>
      </c>
      <c r="G12" s="16">
        <f>IF(Config_Coil!A12="","",F12*Config_Coil!M12)</f>
        <v/>
      </c>
      <c r="H12" s="5">
        <f>IF(Config_Coil!A12="","",Config_Coil!L12+F12)</f>
        <v/>
      </c>
      <c r="I12" s="17">
        <f>IF(Config_Coil!A12="","",2*PI()*((E12/2)/1000)*(Config_Coil!C12/1000))</f>
        <v/>
      </c>
      <c r="J12" s="5">
        <f>IF(Config_Coil!A12="","",Config_Coil!L12)</f>
        <v/>
      </c>
      <c r="K12" s="7">
        <f>IF(Config_Coil!A12="","",Config_Coil!M12)</f>
        <v/>
      </c>
      <c r="L12" s="16">
        <f>IF(H12="","",H12*Config_Coil!M12)</f>
        <v/>
      </c>
    </row>
    <row r="13" ht="15" customHeight="1" s="28">
      <c r="A13" s="15">
        <f>IF(Config_Coil!A13="","",Config_Coil!A13)</f>
        <v/>
      </c>
      <c r="B13" s="7">
        <f>IF(Config_Coil!A13="","",Config_Coil!D13*Config_Coil!H13-Config_Coil!D13*(Config_Coil!D13-1)/2)</f>
        <v/>
      </c>
      <c r="C13" s="9">
        <f>IF(Config_Coil!A13="","",2*PI()*(Config_Coil!D13*Config_Coil!H13*(Config_Coil!B13/1000)+(Config_Coil!D13*(Config_Coil!D13-1)/2)*(Config_Coil!H13*(Config_Coil!E13/1000)*SQRT(3)/2-(Config_Coil!B13/1000))-((Config_Coil!E13/1000)*SQRT(3)/2)*((Config_Coil!D13-1)*Config_Coil!D13*(2*Config_Coil!D13-1)/6)))</f>
        <v/>
      </c>
      <c r="D13" s="9">
        <f>IF(Config_Coil!A13="","",PI()*(IF(Config_Coil!F13=0,Config_Coil!E13,Config_Coil!F13)/2)^2)</f>
        <v/>
      </c>
      <c r="E13" s="5">
        <f>IF(Config_Coil!A13="","",2*Config_Coil!B13+(Config_Coil!D13-1)*Config_Coil!E13*SQRT(3)+Config_Coil!E13)</f>
        <v/>
      </c>
      <c r="F13" s="5">
        <f>IF(Config_Coil!A13="","",$B$2*C13*D13)</f>
        <v/>
      </c>
      <c r="G13" s="16">
        <f>IF(Config_Coil!A13="","",F13*Config_Coil!M13)</f>
        <v/>
      </c>
      <c r="H13" s="5">
        <f>IF(Config_Coil!A13="","",Config_Coil!L13+F13)</f>
        <v/>
      </c>
      <c r="I13" s="17">
        <f>IF(Config_Coil!A13="","",2*PI()*((E13/2)/1000)*(Config_Coil!C13/1000))</f>
        <v/>
      </c>
      <c r="J13" s="5">
        <f>IF(Config_Coil!A13="","",Config_Coil!L13)</f>
        <v/>
      </c>
      <c r="K13" s="7">
        <f>IF(Config_Coil!A13="","",Config_Coil!M13)</f>
        <v/>
      </c>
      <c r="L13" s="16">
        <f>IF(H13="","",H13*Config_Coil!M13)</f>
        <v/>
      </c>
    </row>
    <row r="14" ht="15" customHeight="1" s="28">
      <c r="A14" s="15">
        <f>IF(Config_Coil!A14="","",Config_Coil!A14)</f>
        <v/>
      </c>
      <c r="B14" s="7">
        <f>IF(Config_Coil!A14="","",Config_Coil!D14*Config_Coil!H14-Config_Coil!D14*(Config_Coil!D14-1)/2)</f>
        <v/>
      </c>
      <c r="C14" s="9">
        <f>IF(Config_Coil!A14="","",2*PI()*(Config_Coil!D14*Config_Coil!H14*(Config_Coil!B14/1000)+(Config_Coil!D14*(Config_Coil!D14-1)/2)*(Config_Coil!H14*(Config_Coil!E14/1000)*SQRT(3)/2-(Config_Coil!B14/1000))-((Config_Coil!E14/1000)*SQRT(3)/2)*((Config_Coil!D14-1)*Config_Coil!D14*(2*Config_Coil!D14-1)/6)))</f>
        <v/>
      </c>
      <c r="D14" s="9">
        <f>IF(Config_Coil!A14="","",PI()*(IF(Config_Coil!F14=0,Config_Coil!E14,Config_Coil!F14)/2)^2)</f>
        <v/>
      </c>
      <c r="E14" s="5">
        <f>IF(Config_Coil!A14="","",2*Config_Coil!B14+(Config_Coil!D14-1)*Config_Coil!E14*SQRT(3)+Config_Coil!E14)</f>
        <v/>
      </c>
      <c r="F14" s="5">
        <f>IF(Config_Coil!A14="","",$B$2*C14*D14)</f>
        <v/>
      </c>
      <c r="G14" s="16">
        <f>IF(Config_Coil!A14="","",F14*Config_Coil!M14)</f>
        <v/>
      </c>
      <c r="H14" s="5">
        <f>IF(Config_Coil!A14="","",Config_Coil!L14+F14)</f>
        <v/>
      </c>
      <c r="I14" s="17">
        <f>IF(Config_Coil!A14="","",2*PI()*((E14/2)/1000)*(Config_Coil!C14/1000))</f>
        <v/>
      </c>
      <c r="J14" s="5">
        <f>IF(Config_Coil!A14="","",Config_Coil!L14)</f>
        <v/>
      </c>
      <c r="K14" s="7">
        <f>IF(Config_Coil!A14="","",Config_Coil!M14)</f>
        <v/>
      </c>
      <c r="L14" s="16">
        <f>IF(H14="","",H14*Config_Coil!M14)</f>
        <v/>
      </c>
    </row>
    <row r="15" ht="15" customHeight="1" s="28">
      <c r="A15" s="15">
        <f>IF(Config_Coil!A15="","",Config_Coil!A15)</f>
        <v/>
      </c>
      <c r="B15" s="7">
        <f>IF(Config_Coil!A15="","",Config_Coil!D15*Config_Coil!H15-Config_Coil!D15*(Config_Coil!D15-1)/2)</f>
        <v/>
      </c>
      <c r="C15" s="9">
        <f>IF(Config_Coil!A15="","",2*PI()*(Config_Coil!D15*Config_Coil!H15*(Config_Coil!B15/1000)+(Config_Coil!D15*(Config_Coil!D15-1)/2)*(Config_Coil!H15*(Config_Coil!E15/1000)*SQRT(3)/2-(Config_Coil!B15/1000))-((Config_Coil!E15/1000)*SQRT(3)/2)*((Config_Coil!D15-1)*Config_Coil!D15*(2*Config_Coil!D15-1)/6)))</f>
        <v/>
      </c>
      <c r="D15" s="9">
        <f>IF(Config_Coil!A15="","",PI()*(IF(Config_Coil!F15=0,Config_Coil!E15,Config_Coil!F15)/2)^2)</f>
        <v/>
      </c>
      <c r="E15" s="5">
        <f>IF(Config_Coil!A15="","",2*Config_Coil!B15+(Config_Coil!D15-1)*Config_Coil!E15*SQRT(3)+Config_Coil!E15)</f>
        <v/>
      </c>
      <c r="F15" s="5">
        <f>IF(Config_Coil!A15="","",$B$2*C15*D15)</f>
        <v/>
      </c>
      <c r="G15" s="16">
        <f>IF(Config_Coil!A15="","",F15*Config_Coil!M15)</f>
        <v/>
      </c>
      <c r="H15" s="5">
        <f>IF(Config_Coil!A15="","",Config_Coil!L15+F15)</f>
        <v/>
      </c>
      <c r="I15" s="17">
        <f>IF(Config_Coil!A15="","",2*PI()*((E15/2)/1000)*(Config_Coil!C15/1000))</f>
        <v/>
      </c>
      <c r="J15" s="5">
        <f>IF(Config_Coil!A15="","",Config_Coil!L15)</f>
        <v/>
      </c>
      <c r="K15" s="7">
        <f>IF(Config_Coil!A15="","",Config_Coil!M15)</f>
        <v/>
      </c>
      <c r="L15" s="16">
        <f>IF(H15="","",H15*Config_Coil!M15)</f>
        <v/>
      </c>
    </row>
    <row r="16" ht="15" customHeight="1" s="28">
      <c r="A16" s="15">
        <f>IF(Config_Coil!A16="","",Config_Coil!A16)</f>
        <v/>
      </c>
      <c r="B16" s="7">
        <f>IF(Config_Coil!A16="","",Config_Coil!D16*Config_Coil!H16-Config_Coil!D16*(Config_Coil!D16-1)/2)</f>
        <v/>
      </c>
      <c r="C16" s="9">
        <f>IF(Config_Coil!A16="","",2*PI()*(Config_Coil!D16*Config_Coil!H16*(Config_Coil!B16/1000)+(Config_Coil!D16*(Config_Coil!D16-1)/2)*(Config_Coil!H16*(Config_Coil!E16/1000)*SQRT(3)/2-(Config_Coil!B16/1000))-((Config_Coil!E16/1000)*SQRT(3)/2)*((Config_Coil!D16-1)*Config_Coil!D16*(2*Config_Coil!D16-1)/6)))</f>
        <v/>
      </c>
      <c r="D16" s="9">
        <f>IF(Config_Coil!A16="","",PI()*(IF(Config_Coil!F16=0,Config_Coil!E16,Config_Coil!F16)/2)^2)</f>
        <v/>
      </c>
      <c r="E16" s="5">
        <f>IF(Config_Coil!A16="","",2*Config_Coil!B16+(Config_Coil!D16-1)*Config_Coil!E16*SQRT(3)+Config_Coil!E16)</f>
        <v/>
      </c>
      <c r="F16" s="5">
        <f>IF(Config_Coil!A16="","",$B$2*C16*D16)</f>
        <v/>
      </c>
      <c r="G16" s="16">
        <f>IF(Config_Coil!A16="","",F16*Config_Coil!M16)</f>
        <v/>
      </c>
      <c r="H16" s="5">
        <f>IF(Config_Coil!A16="","",Config_Coil!L16+F16)</f>
        <v/>
      </c>
      <c r="I16" s="17">
        <f>IF(Config_Coil!A16="","",2*PI()*((E16/2)/1000)*(Config_Coil!C16/1000))</f>
        <v/>
      </c>
      <c r="J16" s="5">
        <f>IF(Config_Coil!A16="","",Config_Coil!L16)</f>
        <v/>
      </c>
      <c r="K16" s="7">
        <f>IF(Config_Coil!A16="","",Config_Coil!M16)</f>
        <v/>
      </c>
      <c r="L16" s="16">
        <f>IF(H16="","",H16*Config_Coil!M16)</f>
        <v/>
      </c>
    </row>
    <row r="17" ht="15" customHeight="1" s="28">
      <c r="A17" s="15">
        <f>IF(Config_Coil!A17="","",Config_Coil!A17)</f>
        <v/>
      </c>
      <c r="B17" s="7">
        <f>IF(Config_Coil!A17="","",Config_Coil!D17*Config_Coil!H17-Config_Coil!D17*(Config_Coil!D17-1)/2)</f>
        <v/>
      </c>
      <c r="C17" s="9">
        <f>IF(Config_Coil!A17="","",2*PI()*(Config_Coil!D17*Config_Coil!H17*(Config_Coil!B17/1000)+(Config_Coil!D17*(Config_Coil!D17-1)/2)*(Config_Coil!H17*(Config_Coil!E17/1000)*SQRT(3)/2-(Config_Coil!B17/1000))-((Config_Coil!E17/1000)*SQRT(3)/2)*((Config_Coil!D17-1)*Config_Coil!D17*(2*Config_Coil!D17-1)/6)))</f>
        <v/>
      </c>
      <c r="D17" s="9">
        <f>IF(Config_Coil!A17="","",PI()*(IF(Config_Coil!F17=0,Config_Coil!E17,Config_Coil!F17)/2)^2)</f>
        <v/>
      </c>
      <c r="E17" s="5">
        <f>IF(Config_Coil!A17="","",2*Config_Coil!B17+(Config_Coil!D17-1)*Config_Coil!E17*SQRT(3)+Config_Coil!E17)</f>
        <v/>
      </c>
      <c r="F17" s="5">
        <f>IF(Config_Coil!A17="","",$B$2*C17*D17)</f>
        <v/>
      </c>
      <c r="G17" s="16">
        <f>IF(Config_Coil!A17="","",F17*Config_Coil!M17)</f>
        <v/>
      </c>
      <c r="H17" s="5">
        <f>IF(Config_Coil!A17="","",Config_Coil!L17+F17)</f>
        <v/>
      </c>
      <c r="I17" s="17">
        <f>IF(Config_Coil!A17="","",2*PI()*((E17/2)/1000)*(Config_Coil!C17/1000))</f>
        <v/>
      </c>
      <c r="J17" s="5">
        <f>IF(Config_Coil!A17="","",Config_Coil!L17)</f>
        <v/>
      </c>
      <c r="K17" s="7">
        <f>IF(Config_Coil!A17="","",Config_Coil!M17)</f>
        <v/>
      </c>
      <c r="L17" s="16">
        <f>IF(H17="","",H17*Config_Coil!M17)</f>
        <v/>
      </c>
    </row>
    <row r="18" ht="15" customHeight="1" s="28">
      <c r="A18" s="15">
        <f>IF(Config_Coil!A18="","",Config_Coil!A18)</f>
        <v/>
      </c>
      <c r="B18" s="7">
        <f>IF(Config_Coil!A18="","",Config_Coil!D18*Config_Coil!H18-Config_Coil!D18*(Config_Coil!D18-1)/2)</f>
        <v/>
      </c>
      <c r="C18" s="9">
        <f>IF(Config_Coil!A18="","",2*PI()*(Config_Coil!D18*Config_Coil!H18*(Config_Coil!B18/1000)+(Config_Coil!D18*(Config_Coil!D18-1)/2)*(Config_Coil!H18*(Config_Coil!E18/1000)*SQRT(3)/2-(Config_Coil!B18/1000))-((Config_Coil!E18/1000)*SQRT(3)/2)*((Config_Coil!D18-1)*Config_Coil!D18*(2*Config_Coil!D18-1)/6)))</f>
        <v/>
      </c>
      <c r="D18" s="9">
        <f>IF(Config_Coil!A18="","",PI()*(IF(Config_Coil!F18=0,Config_Coil!E18,Config_Coil!F18)/2)^2)</f>
        <v/>
      </c>
      <c r="E18" s="5">
        <f>IF(Config_Coil!A18="","",2*Config_Coil!B18+(Config_Coil!D18-1)*Config_Coil!E18*SQRT(3)+Config_Coil!E18)</f>
        <v/>
      </c>
      <c r="F18" s="5">
        <f>IF(Config_Coil!A18="","",$B$2*C18*D18)</f>
        <v/>
      </c>
      <c r="G18" s="16">
        <f>IF(Config_Coil!A18="","",F18*Config_Coil!M18)</f>
        <v/>
      </c>
      <c r="H18" s="5">
        <f>IF(Config_Coil!A18="","",Config_Coil!L18+F18)</f>
        <v/>
      </c>
      <c r="I18" s="17">
        <f>IF(Config_Coil!A18="","",2*PI()*((E18/2)/1000)*(Config_Coil!C18/1000))</f>
        <v/>
      </c>
      <c r="J18" s="5">
        <f>IF(Config_Coil!A18="","",Config_Coil!L18)</f>
        <v/>
      </c>
      <c r="K18" s="7">
        <f>IF(Config_Coil!A18="","",Config_Coil!M18)</f>
        <v/>
      </c>
      <c r="L18" s="16">
        <f>IF(H18="","",H18*Config_Coil!M18)</f>
        <v/>
      </c>
    </row>
    <row r="19" ht="15" customHeight="1" s="28">
      <c r="A19" s="15">
        <f>IF(Config_Coil!A19="","",Config_Coil!A19)</f>
        <v/>
      </c>
      <c r="B19" s="7">
        <f>IF(Config_Coil!A19="","",Config_Coil!D19*Config_Coil!H19-Config_Coil!D19*(Config_Coil!D19-1)/2)</f>
        <v/>
      </c>
      <c r="C19" s="9">
        <f>IF(Config_Coil!A19="","",2*PI()*(Config_Coil!D19*Config_Coil!H19*(Config_Coil!B19/1000)+(Config_Coil!D19*(Config_Coil!D19-1)/2)*(Config_Coil!H19*(Config_Coil!E19/1000)*SQRT(3)/2-(Config_Coil!B19/1000))-((Config_Coil!E19/1000)*SQRT(3)/2)*((Config_Coil!D19-1)*Config_Coil!D19*(2*Config_Coil!D19-1)/6)))</f>
        <v/>
      </c>
      <c r="D19" s="9">
        <f>IF(Config_Coil!A19="","",PI()*(IF(Config_Coil!F19=0,Config_Coil!E19,Config_Coil!F19)/2)^2)</f>
        <v/>
      </c>
      <c r="E19" s="5">
        <f>IF(Config_Coil!A19="","",2*Config_Coil!B19+(Config_Coil!D19-1)*Config_Coil!E19*SQRT(3)+Config_Coil!E19)</f>
        <v/>
      </c>
      <c r="F19" s="5">
        <f>IF(Config_Coil!A19="","",$B$2*C19*D19)</f>
        <v/>
      </c>
      <c r="G19" s="16">
        <f>IF(Config_Coil!A19="","",F19*Config_Coil!M19)</f>
        <v/>
      </c>
      <c r="H19" s="5">
        <f>IF(Config_Coil!A19="","",Config_Coil!L19+F19)</f>
        <v/>
      </c>
      <c r="I19" s="17">
        <f>IF(Config_Coil!A19="","",2*PI()*((E19/2)/1000)*(Config_Coil!C19/1000))</f>
        <v/>
      </c>
      <c r="J19" s="5">
        <f>IF(Config_Coil!A19="","",Config_Coil!L19)</f>
        <v/>
      </c>
      <c r="K19" s="7">
        <f>IF(Config_Coil!A19="","",Config_Coil!M19)</f>
        <v/>
      </c>
      <c r="L19" s="16">
        <f>IF(H19="","",H19*Config_Coil!M19)</f>
        <v/>
      </c>
    </row>
    <row r="20" ht="15" customHeight="1" s="28">
      <c r="A20" s="15">
        <f>IF(Config_Coil!A20="","",Config_Coil!A20)</f>
        <v/>
      </c>
      <c r="B20" s="7">
        <f>IF(Config_Coil!A20="","",Config_Coil!D20*Config_Coil!H20-Config_Coil!D20*(Config_Coil!D20-1)/2)</f>
        <v/>
      </c>
      <c r="C20" s="9">
        <f>IF(Config_Coil!A20="","",2*PI()*(Config_Coil!D20*Config_Coil!H20*(Config_Coil!B20/1000)+(Config_Coil!D20*(Config_Coil!D20-1)/2)*(Config_Coil!H20*(Config_Coil!E20/1000)*SQRT(3)/2-(Config_Coil!B20/1000))-((Config_Coil!E20/1000)*SQRT(3)/2)*((Config_Coil!D20-1)*Config_Coil!D20*(2*Config_Coil!D20-1)/6)))</f>
        <v/>
      </c>
      <c r="D20" s="9">
        <f>IF(Config_Coil!A20="","",PI()*(IF(Config_Coil!F20=0,Config_Coil!E20,Config_Coil!F20)/2)^2)</f>
        <v/>
      </c>
      <c r="E20" s="5">
        <f>IF(Config_Coil!A20="","",2*Config_Coil!B20+(Config_Coil!D20-1)*Config_Coil!E20*SQRT(3)+Config_Coil!E20)</f>
        <v/>
      </c>
      <c r="F20" s="5">
        <f>IF(Config_Coil!A20="","",$B$2*C20*D20)</f>
        <v/>
      </c>
      <c r="G20" s="16">
        <f>IF(Config_Coil!A20="","",F20*Config_Coil!M20)</f>
        <v/>
      </c>
      <c r="H20" s="5">
        <f>IF(Config_Coil!A20="","",Config_Coil!L20+F20)</f>
        <v/>
      </c>
      <c r="I20" s="17">
        <f>IF(Config_Coil!A20="","",2*PI()*((E20/2)/1000)*(Config_Coil!C20/1000))</f>
        <v/>
      </c>
      <c r="J20" s="5">
        <f>IF(Config_Coil!A20="","",Config_Coil!L20)</f>
        <v/>
      </c>
      <c r="K20" s="7">
        <f>IF(Config_Coil!A20="","",Config_Coil!M20)</f>
        <v/>
      </c>
      <c r="L20" s="16">
        <f>IF(H20="","",H20*Config_Coil!M20)</f>
        <v/>
      </c>
    </row>
    <row r="21" ht="15" customHeight="1" s="28">
      <c r="A21" s="15">
        <f>IF(Config_Coil!A21="","",Config_Coil!A21)</f>
        <v/>
      </c>
      <c r="B21" s="7">
        <f>IF(Config_Coil!A21="","",Config_Coil!D21*Config_Coil!H21-Config_Coil!D21*(Config_Coil!D21-1)/2)</f>
        <v/>
      </c>
      <c r="C21" s="9">
        <f>IF(Config_Coil!A21="","",2*PI()*(Config_Coil!D21*Config_Coil!H21*(Config_Coil!B21/1000)+(Config_Coil!D21*(Config_Coil!D21-1)/2)*(Config_Coil!H21*(Config_Coil!E21/1000)*SQRT(3)/2-(Config_Coil!B21/1000))-((Config_Coil!E21/1000)*SQRT(3)/2)*((Config_Coil!D21-1)*Config_Coil!D21*(2*Config_Coil!D21-1)/6)))</f>
        <v/>
      </c>
      <c r="D21" s="9">
        <f>IF(Config_Coil!A21="","",PI()*(IF(Config_Coil!F21=0,Config_Coil!E21,Config_Coil!F21)/2)^2)</f>
        <v/>
      </c>
      <c r="E21" s="5">
        <f>IF(Config_Coil!A21="","",2*Config_Coil!B21+(Config_Coil!D21-1)*Config_Coil!E21*SQRT(3)+Config_Coil!E21)</f>
        <v/>
      </c>
      <c r="F21" s="5">
        <f>IF(Config_Coil!A21="","",$B$2*C21*D21)</f>
        <v/>
      </c>
      <c r="G21" s="16">
        <f>IF(Config_Coil!A21="","",F21*Config_Coil!M21)</f>
        <v/>
      </c>
      <c r="H21" s="5">
        <f>IF(Config_Coil!A21="","",Config_Coil!L21+F21)</f>
        <v/>
      </c>
      <c r="I21" s="17">
        <f>IF(Config_Coil!A21="","",2*PI()*((E21/2)/1000)*(Config_Coil!C21/1000))</f>
        <v/>
      </c>
      <c r="J21" s="5">
        <f>IF(Config_Coil!A21="","",Config_Coil!L21)</f>
        <v/>
      </c>
      <c r="K21" s="7">
        <f>IF(Config_Coil!A21="","",Config_Coil!M21)</f>
        <v/>
      </c>
      <c r="L21" s="16">
        <f>IF(H21="","",H21*Config_Coil!M21)</f>
        <v/>
      </c>
    </row>
    <row r="22" ht="15" customHeight="1" s="28">
      <c r="A22" s="15">
        <f>IF(Config_Coil!A22="","",Config_Coil!A22)</f>
        <v/>
      </c>
      <c r="B22" s="7">
        <f>IF(Config_Coil!A22="","",Config_Coil!D22*Config_Coil!H22-Config_Coil!D22*(Config_Coil!D22-1)/2)</f>
        <v/>
      </c>
      <c r="C22" s="9">
        <f>IF(Config_Coil!A22="","",2*PI()*(Config_Coil!D22*Config_Coil!H22*(Config_Coil!B22/1000)+(Config_Coil!D22*(Config_Coil!D22-1)/2)*(Config_Coil!H22*(Config_Coil!E22/1000)*SQRT(3)/2-(Config_Coil!B22/1000))-((Config_Coil!E22/1000)*SQRT(3)/2)*((Config_Coil!D22-1)*Config_Coil!D22*(2*Config_Coil!D22-1)/6)))</f>
        <v/>
      </c>
      <c r="D22" s="9">
        <f>IF(Config_Coil!A22="","",PI()*(IF(Config_Coil!F22=0,Config_Coil!E22,Config_Coil!F22)/2)^2)</f>
        <v/>
      </c>
      <c r="E22" s="5">
        <f>IF(Config_Coil!A22="","",2*Config_Coil!B22+(Config_Coil!D22-1)*Config_Coil!E22*SQRT(3)+Config_Coil!E22)</f>
        <v/>
      </c>
      <c r="F22" s="5">
        <f>IF(Config_Coil!A22="","",$B$2*C22*D22)</f>
        <v/>
      </c>
      <c r="G22" s="16">
        <f>IF(Config_Coil!A22="","",F22*Config_Coil!M22)</f>
        <v/>
      </c>
      <c r="H22" s="5">
        <f>IF(Config_Coil!A22="","",Config_Coil!L22+F22)</f>
        <v/>
      </c>
      <c r="I22" s="17">
        <f>IF(Config_Coil!A22="","",2*PI()*((E22/2)/1000)*(Config_Coil!C22/1000))</f>
        <v/>
      </c>
      <c r="J22" s="5">
        <f>IF(Config_Coil!A22="","",Config_Coil!L22)</f>
        <v/>
      </c>
      <c r="K22" s="7">
        <f>IF(Config_Coil!A22="","",Config_Coil!M22)</f>
        <v/>
      </c>
      <c r="L22" s="16">
        <f>IF(H22="","",H22*Config_Coil!M22)</f>
        <v/>
      </c>
    </row>
    <row r="23" ht="15" customHeight="1" s="28">
      <c r="A23" s="15">
        <f>IF(Config_Coil!A23="","",Config_Coil!A23)</f>
        <v/>
      </c>
      <c r="B23" s="7">
        <f>IF(Config_Coil!A23="","",Config_Coil!D23*Config_Coil!H23-Config_Coil!D23*(Config_Coil!D23-1)/2)</f>
        <v/>
      </c>
      <c r="C23" s="9">
        <f>IF(Config_Coil!A23="","",2*PI()*(Config_Coil!D23*Config_Coil!H23*(Config_Coil!B23/1000)+(Config_Coil!D23*(Config_Coil!D23-1)/2)*(Config_Coil!H23*(Config_Coil!E23/1000)*SQRT(3)/2-(Config_Coil!B23/1000))-((Config_Coil!E23/1000)*SQRT(3)/2)*((Config_Coil!D23-1)*Config_Coil!D23*(2*Config_Coil!D23-1)/6)))</f>
        <v/>
      </c>
      <c r="D23" s="9">
        <f>IF(Config_Coil!A23="","",PI()*(IF(Config_Coil!F23=0,Config_Coil!E23,Config_Coil!F23)/2)^2)</f>
        <v/>
      </c>
      <c r="E23" s="5">
        <f>IF(Config_Coil!A23="","",2*Config_Coil!B23+(Config_Coil!D23-1)*Config_Coil!E23*SQRT(3)+Config_Coil!E23)</f>
        <v/>
      </c>
      <c r="F23" s="5">
        <f>IF(Config_Coil!A23="","",$B$2*C23*D23)</f>
        <v/>
      </c>
      <c r="G23" s="16">
        <f>IF(Config_Coil!A23="","",F23*Config_Coil!M23)</f>
        <v/>
      </c>
      <c r="H23" s="5">
        <f>IF(Config_Coil!A23="","",Config_Coil!L23+F23)</f>
        <v/>
      </c>
      <c r="I23" s="17">
        <f>IF(Config_Coil!A23="","",2*PI()*((E23/2)/1000)*(Config_Coil!C23/1000))</f>
        <v/>
      </c>
      <c r="J23" s="5">
        <f>IF(Config_Coil!A23="","",Config_Coil!L23)</f>
        <v/>
      </c>
      <c r="K23" s="7">
        <f>IF(Config_Coil!A23="","",Config_Coil!M23)</f>
        <v/>
      </c>
      <c r="L23" s="16">
        <f>IF(H23="","",H23*Config_Coil!M23)</f>
        <v/>
      </c>
    </row>
    <row r="24" ht="15" customHeight="1" s="28">
      <c r="A24" s="15">
        <f>IF(Config_Coil!A24="","",Config_Coil!A24)</f>
        <v/>
      </c>
      <c r="B24" s="7">
        <f>IF(Config_Coil!A24="","",Config_Coil!D24*Config_Coil!H24-Config_Coil!D24*(Config_Coil!D24-1)/2)</f>
        <v/>
      </c>
      <c r="C24" s="9">
        <f>IF(Config_Coil!A24="","",2*PI()*(Config_Coil!D24*Config_Coil!H24*(Config_Coil!B24/1000)+(Config_Coil!D24*(Config_Coil!D24-1)/2)*(Config_Coil!H24*(Config_Coil!E24/1000)*SQRT(3)/2-(Config_Coil!B24/1000))-((Config_Coil!E24/1000)*SQRT(3)/2)*((Config_Coil!D24-1)*Config_Coil!D24*(2*Config_Coil!D24-1)/6)))</f>
        <v/>
      </c>
      <c r="D24" s="9">
        <f>IF(Config_Coil!A24="","",PI()*(IF(Config_Coil!F24=0,Config_Coil!E24,Config_Coil!F24)/2)^2)</f>
        <v/>
      </c>
      <c r="E24" s="5">
        <f>IF(Config_Coil!A24="","",2*Config_Coil!B24+(Config_Coil!D24-1)*Config_Coil!E24*SQRT(3)+Config_Coil!E24)</f>
        <v/>
      </c>
      <c r="F24" s="5">
        <f>IF(Config_Coil!A24="","",$B$2*C24*D24)</f>
        <v/>
      </c>
      <c r="G24" s="16">
        <f>IF(Config_Coil!A24="","",F24*Config_Coil!M24)</f>
        <v/>
      </c>
      <c r="H24" s="5">
        <f>IF(Config_Coil!A24="","",Config_Coil!L24+F24)</f>
        <v/>
      </c>
      <c r="I24" s="17">
        <f>IF(Config_Coil!A24="","",2*PI()*((E24/2)/1000)*(Config_Coil!C24/1000))</f>
        <v/>
      </c>
      <c r="J24" s="5">
        <f>IF(Config_Coil!A24="","",Config_Coil!L24)</f>
        <v/>
      </c>
      <c r="K24" s="7">
        <f>IF(Config_Coil!A24="","",Config_Coil!M24)</f>
        <v/>
      </c>
      <c r="L24" s="16">
        <f>IF(H24="","",H24*Config_Coil!M24)</f>
        <v/>
      </c>
    </row>
    <row r="25" ht="15" customHeight="1" s="28">
      <c r="A25" s="15">
        <f>IF(Config_Coil!A25="","",Config_Coil!A25)</f>
        <v/>
      </c>
      <c r="B25" s="7">
        <f>IF(Config_Coil!A25="","",Config_Coil!D25*Config_Coil!H25-Config_Coil!D25*(Config_Coil!D25-1)/2)</f>
        <v/>
      </c>
      <c r="C25" s="9">
        <f>IF(Config_Coil!A25="","",2*PI()*(Config_Coil!D25*Config_Coil!H25*(Config_Coil!B25/1000)+(Config_Coil!D25*(Config_Coil!D25-1)/2)*(Config_Coil!H25*(Config_Coil!E25/1000)*SQRT(3)/2-(Config_Coil!B25/1000))-((Config_Coil!E25/1000)*SQRT(3)/2)*((Config_Coil!D25-1)*Config_Coil!D25*(2*Config_Coil!D25-1)/6)))</f>
        <v/>
      </c>
      <c r="D25" s="9">
        <f>IF(Config_Coil!A25="","",PI()*(IF(Config_Coil!F25=0,Config_Coil!E25,Config_Coil!F25)/2)^2)</f>
        <v/>
      </c>
      <c r="E25" s="5">
        <f>IF(Config_Coil!A25="","",2*Config_Coil!B25+(Config_Coil!D25-1)*Config_Coil!E25*SQRT(3)+Config_Coil!E25)</f>
        <v/>
      </c>
      <c r="F25" s="5">
        <f>IF(Config_Coil!A25="","",$B$2*C25*D25)</f>
        <v/>
      </c>
      <c r="G25" s="16">
        <f>IF(Config_Coil!A25="","",F25*Config_Coil!M25)</f>
        <v/>
      </c>
      <c r="H25" s="5">
        <f>IF(Config_Coil!A25="","",Config_Coil!L25+F25)</f>
        <v/>
      </c>
      <c r="I25" s="17">
        <f>IF(Config_Coil!A25="","",2*PI()*((E25/2)/1000)*(Config_Coil!C25/1000))</f>
        <v/>
      </c>
      <c r="J25" s="5">
        <f>IF(Config_Coil!A25="","",Config_Coil!L25)</f>
        <v/>
      </c>
      <c r="K25" s="7">
        <f>IF(Config_Coil!A25="","",Config_Coil!M25)</f>
        <v/>
      </c>
      <c r="L25" s="16">
        <f>IF(H25="","",H25*Config_Coil!M25)</f>
        <v/>
      </c>
    </row>
  </sheetData>
  <mergeCells count="2">
    <mergeCell ref="A3:L3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B5651D"/>
    <outlinePr summaryBelow="1" summaryRight="1"/>
    <pageSetUpPr/>
  </sheetPr>
  <dimension ref="A1:U25"/>
  <sheetViews>
    <sheetView zoomScaleNormal="100" workbookViewId="0">
      <pane ySplit="5" topLeftCell="A6" activePane="bottomLeft" state="frozen"/>
      <selection pane="bottomLeft" activeCell="F49" sqref="F49"/>
    </sheetView>
  </sheetViews>
  <sheetFormatPr baseColWidth="10" defaultColWidth="8.7109375" defaultRowHeight="15"/>
  <cols>
    <col width="22" customWidth="1" style="28" min="1" max="1"/>
    <col width="12" customWidth="1" style="28" min="2" max="2"/>
    <col width="9" customWidth="1" style="28" min="3" max="3"/>
    <col width="12" customWidth="1" style="28" min="4" max="4"/>
    <col width="15" customWidth="1" style="28" min="5" max="5"/>
    <col width="11" customWidth="1" style="28" min="6" max="6"/>
    <col width="12" customWidth="1" style="28" min="7" max="7"/>
    <col width="16" customWidth="1" style="28" min="8" max="9"/>
    <col width="13" customWidth="1" style="28" min="10" max="10"/>
    <col width="15" customWidth="1" style="28" min="11" max="11"/>
    <col width="12" customWidth="1" style="28" min="12" max="12"/>
    <col width="11" customWidth="1" style="28" min="13" max="15"/>
    <col width="15" customWidth="1" style="28" min="16" max="16"/>
    <col width="11" customWidth="1" style="28" min="17" max="17"/>
    <col width="12" customWidth="1" style="28" min="18" max="18"/>
    <col width="13" customWidth="1" style="28" min="19" max="19"/>
    <col width="12" customWidth="1" style="28" min="20" max="20"/>
    <col width="24" customWidth="1" style="28" min="21" max="21"/>
  </cols>
  <sheetData>
    <row r="1" ht="17.25" customHeight="1" s="28">
      <c r="A1" s="27" t="inlineStr">
        <is>
          <t>Caracteristiques electriques et de chauffe (depuis Config_Coil / Bobinage_Fabrication)</t>
        </is>
      </c>
    </row>
    <row r="2">
      <c r="A2" s="13" t="inlineStr">
        <is>
          <t>Resistivite Cu (Ohm.m):</t>
        </is>
      </c>
      <c r="B2" s="18" t="n">
        <v>1.68e-08</v>
      </c>
      <c r="C2" s="13" t="inlineStr">
        <is>
          <t>Temp. ambiante (C):</t>
        </is>
      </c>
      <c r="D2" s="19" t="n">
        <v>25</v>
      </c>
      <c r="E2" s="13" t="inlineStr">
        <is>
          <t>h convection (W/m2K):</t>
        </is>
      </c>
      <c r="F2" s="19" t="n">
        <v>10</v>
      </c>
      <c r="G2" s="13" t="inlineStr">
        <is>
          <t>Temp. max aimant (C):</t>
        </is>
      </c>
      <c r="H2" s="19" t="n">
        <v>80</v>
      </c>
      <c r="I2" s="13" t="inlineStr">
        <is>
          <t>Densite max continue (A/mm2):</t>
        </is>
      </c>
      <c r="J2" s="20" t="n">
        <v>4</v>
      </c>
      <c r="K2" s="13" t="inlineStr">
        <is>
          <t>Position de maintien (mm):</t>
        </is>
      </c>
      <c r="L2" s="20" t="n">
        <v>10</v>
      </c>
      <c r="M2" s="13" t="inlineStr">
        <is>
          <t>Duty cycle PWM cible (%):</t>
        </is>
      </c>
      <c r="N2" s="21" t="n">
        <v>0.03</v>
      </c>
      <c r="O2" s="13" t="inlineStr">
        <is>
          <t>Constante estim. (N/A.tour):</t>
        </is>
      </c>
      <c r="P2" s="22" t="n">
        <v>0.001073226</v>
      </c>
    </row>
    <row r="3" ht="75" customHeight="1" s="28">
      <c r="A3" s="29" t="inlineStr">
        <is>
          <t>IMPULSION (orange) = pleine tension sans PWM, bref -&gt; echauffement volontairement extreme, normal. MAINTIEN (vert) = PWM continu -&gt; c'est LUI qui doit rester 'OK'. duty_cycle_hold (bleu) = pourcentage de temps ON du PWM que TU choisis ; par defaut il reprend 'Duty cycle PWM cible' ci-dessus mais peut etre modifie ligne par ligne. force_hold_N / force_hold_g = force de maintien RESULTANTE a ce duty cycle (calculee, ce n'est plus une cible qu'on vise). force_estimate_rapide_N = estimation rapide (F proportionnel aux ampere-tours, PAS ampere-tours^2 : l'aimant est un dipole permanent, pas un noyau qui sature) calibree sur la geometrie ET l'aimant par defaut (R=4mm/L=30mm, S-06-13-N48) -- fiable pres de cette config, ecart possible si la bobine OU l'aimant s'eloigne beaucoup de cette reference. force_dispo_maintien_N (violet) = vraie valeur simulee (magpylib), injectee par batch_compare.py. force_utilisee_N prend la valeur simulee si disponible sinon l'estimation rapide (source_force l'indique).</t>
        </is>
      </c>
    </row>
    <row r="4" ht="15" customHeight="1" s="28">
      <c r="B4" s="32" t="inlineStr">
        <is>
          <t>IMPULSION (plein voltage, bref)</t>
        </is>
      </c>
      <c r="C4" s="33" t="n"/>
      <c r="D4" s="33" t="n"/>
      <c r="E4" s="33" t="n"/>
      <c r="F4" s="33" t="n"/>
      <c r="G4" s="34" t="n"/>
      <c r="H4" s="35" t="inlineStr">
        <is>
          <t>MAINTIEN (PWM, soutenu)</t>
        </is>
      </c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4" t="n"/>
    </row>
    <row r="5" ht="39.75" customHeight="1" s="28">
      <c r="A5" s="1" t="inlineStr">
        <is>
          <t>config_name</t>
        </is>
      </c>
      <c r="B5" s="1" t="inlineStr">
        <is>
          <t>resistance_ohm</t>
        </is>
      </c>
      <c r="C5" s="1" t="inlineStr">
        <is>
          <t>voltage_V</t>
        </is>
      </c>
      <c r="D5" s="1" t="inlineStr">
        <is>
          <t>current_full_A</t>
        </is>
      </c>
      <c r="E5" s="1" t="inlineStr">
        <is>
          <t>current_density_full_A_mm2</t>
        </is>
      </c>
      <c r="F5" s="1" t="inlineStr">
        <is>
          <t>power_full_W</t>
        </is>
      </c>
      <c r="G5" s="1" t="inlineStr">
        <is>
          <t>delta_T_full_C</t>
        </is>
      </c>
      <c r="H5" s="1" t="inlineStr">
        <is>
          <t>force_estimate_rapide_N</t>
        </is>
      </c>
      <c r="I5" s="1" t="inlineStr">
        <is>
          <t>force_dispo_maintien_N</t>
        </is>
      </c>
      <c r="J5" s="1" t="inlineStr">
        <is>
          <t>force_utilisee_N</t>
        </is>
      </c>
      <c r="K5" s="1" t="inlineStr">
        <is>
          <t>source_force</t>
        </is>
      </c>
      <c r="L5" s="1" t="inlineStr">
        <is>
          <t>duty_cycle_hold</t>
        </is>
      </c>
      <c r="M5" s="1" t="inlineStr">
        <is>
          <t>force_hold_N</t>
        </is>
      </c>
      <c r="N5" s="1" t="inlineStr">
        <is>
          <t>force_hold_g</t>
        </is>
      </c>
      <c r="O5" s="1" t="inlineStr">
        <is>
          <t>current_hold_A</t>
        </is>
      </c>
      <c r="P5" s="1" t="inlineStr">
        <is>
          <t>current_density_hold_A_mm2</t>
        </is>
      </c>
      <c r="Q5" s="1" t="inlineStr">
        <is>
          <t>power_hold_W</t>
        </is>
      </c>
      <c r="R5" s="1" t="inlineStr">
        <is>
          <t>delta_T_hold_C</t>
        </is>
      </c>
      <c r="S5" s="1" t="inlineStr">
        <is>
          <t>coil_temp_hold_C</t>
        </is>
      </c>
      <c r="T5" s="1" t="inlineStr">
        <is>
          <t>margin_hold_C</t>
        </is>
      </c>
      <c r="U5" s="1" t="inlineStr">
        <is>
          <t>status_hold</t>
        </is>
      </c>
    </row>
    <row r="6" ht="15" customHeight="1" s="28">
      <c r="A6" s="15">
        <f>IF(Config_Coil!A6="","",Config_Coil!A6)</f>
        <v/>
      </c>
      <c r="B6" s="23">
        <f>IF(Config_Coil!A6="","",$B$2*Bobinage_Fabrication!C6/(Bobinage_Fabrication!D6*0.000001))</f>
        <v/>
      </c>
      <c r="C6" s="16">
        <f>IF(Config_Coil!A6="","",Config_Coil!I6)</f>
        <v/>
      </c>
      <c r="D6" s="5">
        <f>IF(Config_Coil!A6="","",C6/B6)</f>
        <v/>
      </c>
      <c r="E6" s="16">
        <f>IF(Config_Coil!A6="","",D6/Bobinage_Fabrication!D6)</f>
        <v/>
      </c>
      <c r="F6" s="5">
        <f>IF(Config_Coil!A6="","",C6*D6)</f>
        <v/>
      </c>
      <c r="G6" s="16">
        <f>IF(Config_Coil!A6="","",F6/($F$2*Bobinage_Fabrication!I6))</f>
        <v/>
      </c>
      <c r="H6" s="23">
        <f>IF(Config_Coil!A6="","",$P$2*Bobinage_Fabrication!B6*D6)</f>
        <v/>
      </c>
      <c r="I6" s="23" t="n">
        <v>3.133118951291486</v>
      </c>
      <c r="J6" s="23">
        <f>IF(Config_Coil!A6="","",IF(OR(I6="",I6=0),H6,I6))</f>
        <v/>
      </c>
      <c r="K6" s="15">
        <f>IF(Config_Coil!A6="","",IF(OR(I6="",I6=0),"estime (N×I)","simule (magpylib)"))</f>
        <v/>
      </c>
      <c r="L6" s="24">
        <f>IF(Config_Coil!A6="","",$N$2)</f>
        <v/>
      </c>
      <c r="M6" s="23">
        <f>IF(L6="","",L6*J6)</f>
        <v/>
      </c>
      <c r="N6" s="16">
        <f>IF(M6="","",M6/9.81*1000)</f>
        <v/>
      </c>
      <c r="O6" s="9">
        <f>IF(L6="","",L6*D6)</f>
        <v/>
      </c>
      <c r="P6" s="5">
        <f>IF(O6="","",O6/Bobinage_Fabrication!D6)</f>
        <v/>
      </c>
      <c r="Q6" s="9">
        <f>IF(L6="","",L6^2*F6)</f>
        <v/>
      </c>
      <c r="R6" s="16">
        <f>IF(Q6="","",Q6/($F$2*Bobinage_Fabrication!I6))</f>
        <v/>
      </c>
      <c r="S6" s="16">
        <f>IF(R6="","",$D$2+R6)</f>
        <v/>
      </c>
      <c r="T6" s="16">
        <f>IF(S6="","",$H$2-S6)</f>
        <v/>
      </c>
      <c r="U6" s="15">
        <f>IF(T6="","",IF(L6&gt;1,"ATTENTION: duty &gt;100%",IF(AND(T6&gt;=0,P6&lt;=$J$2),"OK",IF(P6&gt;$J$2,"ATTENTION: densite maintien elevee","ATTENTION: risque demagnetisation"))))</f>
        <v/>
      </c>
    </row>
    <row r="7" ht="15" customHeight="1" s="28">
      <c r="A7" s="15">
        <f>IF(Config_Coil!A7="","",Config_Coil!A7)</f>
        <v/>
      </c>
      <c r="B7" s="23">
        <f>IF(Config_Coil!A7="","",$B$2*Bobinage_Fabrication!C7/(Bobinage_Fabrication!D7*0.000001))</f>
        <v/>
      </c>
      <c r="C7" s="16">
        <f>IF(Config_Coil!A7="","",Config_Coil!I7)</f>
        <v/>
      </c>
      <c r="D7" s="5">
        <f>IF(Config_Coil!A7="","",C7/B7)</f>
        <v/>
      </c>
      <c r="E7" s="16">
        <f>IF(Config_Coil!A7="","",D7/Bobinage_Fabrication!D7)</f>
        <v/>
      </c>
      <c r="F7" s="5">
        <f>IF(Config_Coil!A7="","",C7*D7)</f>
        <v/>
      </c>
      <c r="G7" s="16">
        <f>IF(Config_Coil!A7="","",F7/($F$2*Bobinage_Fabrication!I7))</f>
        <v/>
      </c>
      <c r="H7" s="23">
        <f>IF(Config_Coil!A7="","",$P$2*Bobinage_Fabrication!B7*D7)</f>
        <v/>
      </c>
      <c r="I7" s="23" t="n">
        <v>3.638211193525741</v>
      </c>
      <c r="J7" s="23">
        <f>IF(Config_Coil!A7="","",IF(OR(I7="",I7=0),H7,I7))</f>
        <v/>
      </c>
      <c r="K7" s="15">
        <f>IF(Config_Coil!A7="","",IF(OR(I7="",I7=0),"estime (N×I)","simule (magpylib)"))</f>
        <v/>
      </c>
      <c r="L7" s="24">
        <f>IF(Config_Coil!A7="","",$N$2)</f>
        <v/>
      </c>
      <c r="M7" s="23">
        <f>IF(L7="","",L7*J7)</f>
        <v/>
      </c>
      <c r="N7" s="16">
        <f>IF(M7="","",M7/9.81*1000)</f>
        <v/>
      </c>
      <c r="O7" s="9">
        <f>IF(L7="","",L7*D7)</f>
        <v/>
      </c>
      <c r="P7" s="5">
        <f>IF(O7="","",O7/Bobinage_Fabrication!D7)</f>
        <v/>
      </c>
      <c r="Q7" s="9">
        <f>IF(L7="","",L7^2*F7)</f>
        <v/>
      </c>
      <c r="R7" s="16">
        <f>IF(Q7="","",Q7/($F$2*Bobinage_Fabrication!I7))</f>
        <v/>
      </c>
      <c r="S7" s="16">
        <f>IF(R7="","",$D$2+R7)</f>
        <v/>
      </c>
      <c r="T7" s="16">
        <f>IF(S7="","",$H$2-S7)</f>
        <v/>
      </c>
      <c r="U7" s="15">
        <f>IF(T7="","",IF(L7&gt;1,"ATTENTION: duty &gt;100%",IF(AND(T7&gt;=0,P7&lt;=$J$2),"OK",IF(P7&gt;$J$2,"ATTENTION: densite maintien elevee","ATTENTION: risque demagnetisation"))))</f>
        <v/>
      </c>
    </row>
    <row r="8" ht="15" customHeight="1" s="28">
      <c r="A8" s="15">
        <f>IF(Config_Coil!A8="","",Config_Coil!A8)</f>
        <v/>
      </c>
      <c r="B8" s="23">
        <f>IF(Config_Coil!A8="","",$B$2*Bobinage_Fabrication!C8/(Bobinage_Fabrication!D8*0.000001))</f>
        <v/>
      </c>
      <c r="C8" s="16">
        <f>IF(Config_Coil!A8="","",Config_Coil!I8)</f>
        <v/>
      </c>
      <c r="D8" s="5">
        <f>IF(Config_Coil!A8="","",C8/B8)</f>
        <v/>
      </c>
      <c r="E8" s="16">
        <f>IF(Config_Coil!A8="","",D8/Bobinage_Fabrication!D8)</f>
        <v/>
      </c>
      <c r="F8" s="5">
        <f>IF(Config_Coil!A8="","",C8*D8)</f>
        <v/>
      </c>
      <c r="G8" s="16">
        <f>IF(Config_Coil!A8="","",F8/($F$2*Bobinage_Fabrication!I8))</f>
        <v/>
      </c>
      <c r="H8" s="23">
        <f>IF(Config_Coil!A8="","",$P$2*Bobinage_Fabrication!B8*D8)</f>
        <v/>
      </c>
      <c r="I8" s="23" t="n">
        <v>3.233602286043188</v>
      </c>
      <c r="J8" s="23">
        <f>IF(Config_Coil!A8="","",IF(OR(I8="",I8=0),H8,I8))</f>
        <v/>
      </c>
      <c r="K8" s="15">
        <f>IF(Config_Coil!A8="","",IF(OR(I8="",I8=0),"estime (N×I)","simule (magpylib)"))</f>
        <v/>
      </c>
      <c r="L8" s="24" t="n">
        <v>0.03</v>
      </c>
      <c r="M8" s="23">
        <f>IF(L8="","",L8*J8)</f>
        <v/>
      </c>
      <c r="N8" s="16">
        <f>IF(M8="","",M8/9.81*1000)</f>
        <v/>
      </c>
      <c r="O8" s="9">
        <f>IF(L8="","",L8*D8)</f>
        <v/>
      </c>
      <c r="P8" s="5">
        <f>IF(O8="","",O8/Bobinage_Fabrication!D8)</f>
        <v/>
      </c>
      <c r="Q8" s="9">
        <f>IF(L8="","",L8^2*F8)</f>
        <v/>
      </c>
      <c r="R8" s="16">
        <f>IF(Q8="","",Q8/($F$2*Bobinage_Fabrication!I8))</f>
        <v/>
      </c>
      <c r="S8" s="16">
        <f>IF(R8="","",$D$2+R8)</f>
        <v/>
      </c>
      <c r="T8" s="16">
        <f>IF(S8="","",$H$2-S8)</f>
        <v/>
      </c>
      <c r="U8" s="15">
        <f>IF(T8="","",IF(L8&gt;1,"ATTENTION: duty &gt;100%",IF(AND(T8&gt;=0,P8&lt;=$J$2),"OK",IF(P8&gt;$J$2,"ATTENTION: densite maintien elevee","ATTENTION: risque demagnetisation"))))</f>
        <v/>
      </c>
    </row>
    <row r="9" ht="15" customHeight="1" s="28">
      <c r="A9" s="15">
        <f>IF(Config_Coil!A9="","",Config_Coil!A9)</f>
        <v/>
      </c>
      <c r="B9" s="23">
        <f>IF(Config_Coil!A9="","",$B$2*Bobinage_Fabrication!C9/(Bobinage_Fabrication!D9*0.000001))</f>
        <v/>
      </c>
      <c r="C9" s="16">
        <f>IF(Config_Coil!A9="","",Config_Coil!I9)</f>
        <v/>
      </c>
      <c r="D9" s="5">
        <f>IF(Config_Coil!A9="","",C9/B9)</f>
        <v/>
      </c>
      <c r="E9" s="16">
        <f>IF(Config_Coil!A9="","",D9/Bobinage_Fabrication!D9)</f>
        <v/>
      </c>
      <c r="F9" s="5">
        <f>IF(Config_Coil!A9="","",C9*D9)</f>
        <v/>
      </c>
      <c r="G9" s="16">
        <f>IF(Config_Coil!A9="","",F9/($F$2*Bobinage_Fabrication!I9))</f>
        <v/>
      </c>
      <c r="H9" s="23">
        <f>IF(Config_Coil!A9="","",$P$2*Bobinage_Fabrication!B9*D9)</f>
        <v/>
      </c>
      <c r="I9" s="23" t="n">
        <v>2.418783105960914</v>
      </c>
      <c r="J9" s="23">
        <f>IF(Config_Coil!A9="","",IF(OR(I9="",I9=0),H9,I9))</f>
        <v/>
      </c>
      <c r="K9" s="15">
        <f>IF(Config_Coil!A9="","",IF(OR(I9="",I9=0),"estime (N×I)","simule (magpylib)"))</f>
        <v/>
      </c>
      <c r="L9" s="24">
        <f>IF(Config_Coil!A9="","",$N$2)</f>
        <v/>
      </c>
      <c r="M9" s="23">
        <f>IF(L9="","",L9*J9)</f>
        <v/>
      </c>
      <c r="N9" s="16">
        <f>IF(M9="","",M9/9.81*1000)</f>
        <v/>
      </c>
      <c r="O9" s="9">
        <f>IF(L9="","",L9*D9)</f>
        <v/>
      </c>
      <c r="P9" s="5">
        <f>IF(O9="","",O9/Bobinage_Fabrication!D9)</f>
        <v/>
      </c>
      <c r="Q9" s="9">
        <f>IF(L9="","",L9^2*F9)</f>
        <v/>
      </c>
      <c r="R9" s="16">
        <f>IF(Q9="","",Q9/($F$2*Bobinage_Fabrication!I9))</f>
        <v/>
      </c>
      <c r="S9" s="16">
        <f>IF(R9="","",$D$2+R9)</f>
        <v/>
      </c>
      <c r="T9" s="16">
        <f>IF(S9="","",$H$2-S9)</f>
        <v/>
      </c>
      <c r="U9" s="15">
        <f>IF(T9="","",IF(L9&gt;1,"ATTENTION: duty &gt;100%",IF(AND(T9&gt;=0,P9&lt;=$J$2),"OK",IF(P9&gt;$J$2,"ATTENTION: densite maintien elevee","ATTENTION: risque demagnetisation"))))</f>
        <v/>
      </c>
    </row>
    <row r="10" ht="15" customHeight="1" s="28">
      <c r="A10" s="15">
        <f>IF(Config_Coil!A10="","",Config_Coil!A10)</f>
        <v/>
      </c>
      <c r="B10" s="23">
        <f>IF(Config_Coil!A10="","",$B$2*Bobinage_Fabrication!C10/(Bobinage_Fabrication!D10*0.000001))</f>
        <v/>
      </c>
      <c r="C10" s="16">
        <f>IF(Config_Coil!A10="","",Config_Coil!I10)</f>
        <v/>
      </c>
      <c r="D10" s="5">
        <f>IF(Config_Coil!A10="","",C10/B10)</f>
        <v/>
      </c>
      <c r="E10" s="16">
        <f>IF(Config_Coil!A10="","",D10/Bobinage_Fabrication!D10)</f>
        <v/>
      </c>
      <c r="F10" s="5">
        <f>IF(Config_Coil!A10="","",C10*D10)</f>
        <v/>
      </c>
      <c r="G10" s="16">
        <f>IF(Config_Coil!A10="","",F10/($F$2*Bobinage_Fabrication!I10))</f>
        <v/>
      </c>
      <c r="H10" s="23">
        <f>IF(Config_Coil!A10="","",$P$2*Bobinage_Fabrication!B10*D10)</f>
        <v/>
      </c>
      <c r="I10" s="23" t="n">
        <v>2.174951320481522</v>
      </c>
      <c r="J10" s="23">
        <f>IF(Config_Coil!A10="","",IF(OR(I10="",I10=0),H10,I10))</f>
        <v/>
      </c>
      <c r="K10" s="15">
        <f>IF(Config_Coil!A10="","",IF(OR(I10="",I10=0),"estime (N×I)","simule (magpylib)"))</f>
        <v/>
      </c>
      <c r="L10" s="24">
        <f>IF(Config_Coil!A10="","",$N$2)</f>
        <v/>
      </c>
      <c r="M10" s="23">
        <f>IF(L10="","",L10*J10)</f>
        <v/>
      </c>
      <c r="N10" s="16">
        <f>IF(M10="","",M10/9.81*1000)</f>
        <v/>
      </c>
      <c r="O10" s="9">
        <f>IF(L10="","",L10*D10)</f>
        <v/>
      </c>
      <c r="P10" s="5">
        <f>IF(O10="","",O10/Bobinage_Fabrication!D10)</f>
        <v/>
      </c>
      <c r="Q10" s="9">
        <f>IF(L10="","",L10^2*F10)</f>
        <v/>
      </c>
      <c r="R10" s="16">
        <f>IF(Q10="","",Q10/($F$2*Bobinage_Fabrication!I10))</f>
        <v/>
      </c>
      <c r="S10" s="16">
        <f>IF(R10="","",$D$2+R10)</f>
        <v/>
      </c>
      <c r="T10" s="16">
        <f>IF(S10="","",$H$2-S10)</f>
        <v/>
      </c>
      <c r="U10" s="15">
        <f>IF(T10="","",IF(L10&gt;1,"ATTENTION: duty &gt;100%",IF(AND(T10&gt;=0,P10&lt;=$J$2),"OK",IF(P10&gt;$J$2,"ATTENTION: densite maintien elevee","ATTENTION: risque demagnetisation"))))</f>
        <v/>
      </c>
    </row>
    <row r="11" ht="15" customHeight="1" s="28">
      <c r="A11" s="15">
        <f>IF(Config_Coil!A11="","",Config_Coil!A11)</f>
        <v/>
      </c>
      <c r="B11" s="23">
        <f>IF(Config_Coil!A11="","",$B$2*Bobinage_Fabrication!C11/(Bobinage_Fabrication!D11*0.000001))</f>
        <v/>
      </c>
      <c r="C11" s="16">
        <f>IF(Config_Coil!A11="","",Config_Coil!I11)</f>
        <v/>
      </c>
      <c r="D11" s="5">
        <f>IF(Config_Coil!A11="","",C11/B11)</f>
        <v/>
      </c>
      <c r="E11" s="16">
        <f>IF(Config_Coil!A11="","",D11/Bobinage_Fabrication!D11)</f>
        <v/>
      </c>
      <c r="F11" s="5">
        <f>IF(Config_Coil!A11="","",C11*D11)</f>
        <v/>
      </c>
      <c r="G11" s="16">
        <f>IF(Config_Coil!A11="","",F11/($F$2*Bobinage_Fabrication!I11))</f>
        <v/>
      </c>
      <c r="H11" s="23">
        <f>IF(Config_Coil!A11="","",$P$2*Bobinage_Fabrication!B11*D11)</f>
        <v/>
      </c>
      <c r="I11" s="23" t="n">
        <v>1.970984402072786</v>
      </c>
      <c r="J11" s="23">
        <f>IF(Config_Coil!A11="","",IF(OR(I11="",I11=0),H11,I11))</f>
        <v/>
      </c>
      <c r="K11" s="15">
        <f>IF(Config_Coil!A11="","",IF(OR(I11="",I11=0),"estime (N×I)","simule (magpylib)"))</f>
        <v/>
      </c>
      <c r="L11" s="24">
        <f>IF(Config_Coil!A11="","",$N$2)</f>
        <v/>
      </c>
      <c r="M11" s="23">
        <f>IF(L11="","",L11*J11)</f>
        <v/>
      </c>
      <c r="N11" s="16">
        <f>IF(M11="","",M11/9.81*1000)</f>
        <v/>
      </c>
      <c r="O11" s="9">
        <f>IF(L11="","",L11*D11)</f>
        <v/>
      </c>
      <c r="P11" s="5">
        <f>IF(O11="","",O11/Bobinage_Fabrication!D11)</f>
        <v/>
      </c>
      <c r="Q11" s="9">
        <f>IF(L11="","",L11^2*F11)</f>
        <v/>
      </c>
      <c r="R11" s="16">
        <f>IF(Q11="","",Q11/($F$2*Bobinage_Fabrication!I11))</f>
        <v/>
      </c>
      <c r="S11" s="16">
        <f>IF(R11="","",$D$2+R11)</f>
        <v/>
      </c>
      <c r="T11" s="16">
        <f>IF(S11="","",$H$2-S11)</f>
        <v/>
      </c>
      <c r="U11" s="15">
        <f>IF(T11="","",IF(L11&gt;1,"ATTENTION: duty &gt;100%",IF(AND(T11&gt;=0,P11&lt;=$J$2),"OK",IF(P11&gt;$J$2,"ATTENTION: densite maintien elevee","ATTENTION: risque demagnetisation"))))</f>
        <v/>
      </c>
    </row>
    <row r="12" ht="15" customHeight="1" s="28">
      <c r="A12" s="15">
        <f>IF(Config_Coil!A12="","",Config_Coil!A12)</f>
        <v/>
      </c>
      <c r="B12" s="23">
        <f>IF(Config_Coil!A12="","",$B$2*Bobinage_Fabrication!C12/(Bobinage_Fabrication!D12*0.000001))</f>
        <v/>
      </c>
      <c r="C12" s="16">
        <f>IF(Config_Coil!A12="","",Config_Coil!I12)</f>
        <v/>
      </c>
      <c r="D12" s="5">
        <f>IF(Config_Coil!A12="","",C12/B12)</f>
        <v/>
      </c>
      <c r="E12" s="16">
        <f>IF(Config_Coil!A12="","",D12/Bobinage_Fabrication!D12)</f>
        <v/>
      </c>
      <c r="F12" s="5">
        <f>IF(Config_Coil!A12="","",C12*D12)</f>
        <v/>
      </c>
      <c r="G12" s="16">
        <f>IF(Config_Coil!A12="","",F12/($F$2*Bobinage_Fabrication!I12))</f>
        <v/>
      </c>
      <c r="H12" s="23">
        <f>IF(Config_Coil!A12="","",$P$2*Bobinage_Fabrication!B12*D12)</f>
        <v/>
      </c>
      <c r="I12" s="23" t="n"/>
      <c r="J12" s="23">
        <f>IF(Config_Coil!A12="","",IF(OR(I12="",I12=0),H12,I12))</f>
        <v/>
      </c>
      <c r="K12" s="15">
        <f>IF(Config_Coil!A12="","",IF(OR(I12="",I12=0),"estime (N×I)","simule (magpylib)"))</f>
        <v/>
      </c>
      <c r="L12" s="24">
        <f>IF(Config_Coil!A12="","",$N$2)</f>
        <v/>
      </c>
      <c r="M12" s="23">
        <f>IF(L12="","",L12*J12)</f>
        <v/>
      </c>
      <c r="N12" s="16">
        <f>IF(M12="","",M12/9.81*1000)</f>
        <v/>
      </c>
      <c r="O12" s="9">
        <f>IF(L12="","",L12*D12)</f>
        <v/>
      </c>
      <c r="P12" s="5">
        <f>IF(O12="","",O12/Bobinage_Fabrication!D12)</f>
        <v/>
      </c>
      <c r="Q12" s="9">
        <f>IF(L12="","",L12^2*F12)</f>
        <v/>
      </c>
      <c r="R12" s="16">
        <f>IF(Q12="","",Q12/($F$2*Bobinage_Fabrication!I12))</f>
        <v/>
      </c>
      <c r="S12" s="16">
        <f>IF(R12="","",$D$2+R12)</f>
        <v/>
      </c>
      <c r="T12" s="16">
        <f>IF(S12="","",$H$2-S12)</f>
        <v/>
      </c>
      <c r="U12" s="15">
        <f>IF(T12="","",IF(L12&gt;1,"ATTENTION: duty &gt;100%",IF(AND(T12&gt;=0,P12&lt;=$J$2),"OK",IF(P12&gt;$J$2,"ATTENTION: densite maintien elevee","ATTENTION: risque demagnetisation"))))</f>
        <v/>
      </c>
    </row>
    <row r="13" ht="15" customHeight="1" s="28">
      <c r="A13" s="15">
        <f>IF(Config_Coil!A13="","",Config_Coil!A13)</f>
        <v/>
      </c>
      <c r="B13" s="23">
        <f>IF(Config_Coil!A13="","",$B$2*Bobinage_Fabrication!C13/(Bobinage_Fabrication!D13*0.000001))</f>
        <v/>
      </c>
      <c r="C13" s="16">
        <f>IF(Config_Coil!A13="","",Config_Coil!I13)</f>
        <v/>
      </c>
      <c r="D13" s="5">
        <f>IF(Config_Coil!A13="","",C13/B13)</f>
        <v/>
      </c>
      <c r="E13" s="16">
        <f>IF(Config_Coil!A13="","",D13/Bobinage_Fabrication!D13)</f>
        <v/>
      </c>
      <c r="F13" s="5">
        <f>IF(Config_Coil!A13="","",C13*D13)</f>
        <v/>
      </c>
      <c r="G13" s="16">
        <f>IF(Config_Coil!A13="","",F13/($F$2*Bobinage_Fabrication!I13))</f>
        <v/>
      </c>
      <c r="H13" s="23">
        <f>IF(Config_Coil!A13="","",$P$2*Bobinage_Fabrication!B13*D13)</f>
        <v/>
      </c>
      <c r="I13" s="23" t="n"/>
      <c r="J13" s="23">
        <f>IF(Config_Coil!A13="","",IF(OR(I13="",I13=0),H13,I13))</f>
        <v/>
      </c>
      <c r="K13" s="15">
        <f>IF(Config_Coil!A13="","",IF(OR(I13="",I13=0),"estime (N×I)","simule (magpylib)"))</f>
        <v/>
      </c>
      <c r="L13" s="24">
        <f>IF(Config_Coil!A13="","",$N$2)</f>
        <v/>
      </c>
      <c r="M13" s="23">
        <f>IF(L13="","",L13*J13)</f>
        <v/>
      </c>
      <c r="N13" s="16">
        <f>IF(M13="","",M13/9.81*1000)</f>
        <v/>
      </c>
      <c r="O13" s="9">
        <f>IF(L13="","",L13*D13)</f>
        <v/>
      </c>
      <c r="P13" s="5">
        <f>IF(O13="","",O13/Bobinage_Fabrication!D13)</f>
        <v/>
      </c>
      <c r="Q13" s="9">
        <f>IF(L13="","",L13^2*F13)</f>
        <v/>
      </c>
      <c r="R13" s="16">
        <f>IF(Q13="","",Q13/($F$2*Bobinage_Fabrication!I13))</f>
        <v/>
      </c>
      <c r="S13" s="16">
        <f>IF(R13="","",$D$2+R13)</f>
        <v/>
      </c>
      <c r="T13" s="16">
        <f>IF(S13="","",$H$2-S13)</f>
        <v/>
      </c>
      <c r="U13" s="15">
        <f>IF(T13="","",IF(L13&gt;1,"ATTENTION: duty &gt;100%",IF(AND(T13&gt;=0,P13&lt;=$J$2),"OK",IF(P13&gt;$J$2,"ATTENTION: densite maintien elevee","ATTENTION: risque demagnetisation"))))</f>
        <v/>
      </c>
    </row>
    <row r="14" ht="15" customHeight="1" s="28">
      <c r="A14" s="15">
        <f>IF(Config_Coil!A14="","",Config_Coil!A14)</f>
        <v/>
      </c>
      <c r="B14" s="23">
        <f>IF(Config_Coil!A14="","",$B$2*Bobinage_Fabrication!C14/(Bobinage_Fabrication!D14*0.000001))</f>
        <v/>
      </c>
      <c r="C14" s="16">
        <f>IF(Config_Coil!A14="","",Config_Coil!I14)</f>
        <v/>
      </c>
      <c r="D14" s="5">
        <f>IF(Config_Coil!A14="","",C14/B14)</f>
        <v/>
      </c>
      <c r="E14" s="16">
        <f>IF(Config_Coil!A14="","",D14/Bobinage_Fabrication!D14)</f>
        <v/>
      </c>
      <c r="F14" s="5">
        <f>IF(Config_Coil!A14="","",C14*D14)</f>
        <v/>
      </c>
      <c r="G14" s="16">
        <f>IF(Config_Coil!A14="","",F14/($F$2*Bobinage_Fabrication!I14))</f>
        <v/>
      </c>
      <c r="H14" s="23">
        <f>IF(Config_Coil!A14="","",$P$2*Bobinage_Fabrication!B14*D14)</f>
        <v/>
      </c>
      <c r="I14" s="23" t="n"/>
      <c r="J14" s="23">
        <f>IF(Config_Coil!A14="","",IF(OR(I14="",I14=0),H14,I14))</f>
        <v/>
      </c>
      <c r="K14" s="15">
        <f>IF(Config_Coil!A14="","",IF(OR(I14="",I14=0),"estime (N×I)","simule (magpylib)"))</f>
        <v/>
      </c>
      <c r="L14" s="24">
        <f>IF(Config_Coil!A14="","",$N$2)</f>
        <v/>
      </c>
      <c r="M14" s="23">
        <f>IF(L14="","",L14*J14)</f>
        <v/>
      </c>
      <c r="N14" s="16">
        <f>IF(M14="","",M14/9.81*1000)</f>
        <v/>
      </c>
      <c r="O14" s="9">
        <f>IF(L14="","",L14*D14)</f>
        <v/>
      </c>
      <c r="P14" s="5">
        <f>IF(O14="","",O14/Bobinage_Fabrication!D14)</f>
        <v/>
      </c>
      <c r="Q14" s="9">
        <f>IF(L14="","",L14^2*F14)</f>
        <v/>
      </c>
      <c r="R14" s="16">
        <f>IF(Q14="","",Q14/($F$2*Bobinage_Fabrication!I14))</f>
        <v/>
      </c>
      <c r="S14" s="16">
        <f>IF(R14="","",$D$2+R14)</f>
        <v/>
      </c>
      <c r="T14" s="16">
        <f>IF(S14="","",$H$2-S14)</f>
        <v/>
      </c>
      <c r="U14" s="15">
        <f>IF(T14="","",IF(L14&gt;1,"ATTENTION: duty &gt;100%",IF(AND(T14&gt;=0,P14&lt;=$J$2),"OK",IF(P14&gt;$J$2,"ATTENTION: densite maintien elevee","ATTENTION: risque demagnetisation"))))</f>
        <v/>
      </c>
    </row>
    <row r="15" ht="15" customHeight="1" s="28">
      <c r="A15" s="15">
        <f>IF(Config_Coil!A15="","",Config_Coil!A15)</f>
        <v/>
      </c>
      <c r="B15" s="23">
        <f>IF(Config_Coil!A15="","",$B$2*Bobinage_Fabrication!C15/(Bobinage_Fabrication!D15*0.000001))</f>
        <v/>
      </c>
      <c r="C15" s="16">
        <f>IF(Config_Coil!A15="","",Config_Coil!I15)</f>
        <v/>
      </c>
      <c r="D15" s="5">
        <f>IF(Config_Coil!A15="","",C15/B15)</f>
        <v/>
      </c>
      <c r="E15" s="16">
        <f>IF(Config_Coil!A15="","",D15/Bobinage_Fabrication!D15)</f>
        <v/>
      </c>
      <c r="F15" s="5">
        <f>IF(Config_Coil!A15="","",C15*D15)</f>
        <v/>
      </c>
      <c r="G15" s="16">
        <f>IF(Config_Coil!A15="","",F15/($F$2*Bobinage_Fabrication!I15))</f>
        <v/>
      </c>
      <c r="H15" s="23">
        <f>IF(Config_Coil!A15="","",$P$2*Bobinage_Fabrication!B15*D15)</f>
        <v/>
      </c>
      <c r="I15" s="23" t="n"/>
      <c r="J15" s="23">
        <f>IF(Config_Coil!A15="","",IF(OR(I15="",I15=0),H15,I15))</f>
        <v/>
      </c>
      <c r="K15" s="15">
        <f>IF(Config_Coil!A15="","",IF(OR(I15="",I15=0),"estime (N×I)","simule (magpylib)"))</f>
        <v/>
      </c>
      <c r="L15" s="24">
        <f>IF(Config_Coil!A15="","",$N$2)</f>
        <v/>
      </c>
      <c r="M15" s="23">
        <f>IF(L15="","",L15*J15)</f>
        <v/>
      </c>
      <c r="N15" s="16">
        <f>IF(M15="","",M15/9.81*1000)</f>
        <v/>
      </c>
      <c r="O15" s="9">
        <f>IF(L15="","",L15*D15)</f>
        <v/>
      </c>
      <c r="P15" s="5">
        <f>IF(O15="","",O15/Bobinage_Fabrication!D15)</f>
        <v/>
      </c>
      <c r="Q15" s="9">
        <f>IF(L15="","",L15^2*F15)</f>
        <v/>
      </c>
      <c r="R15" s="16">
        <f>IF(Q15="","",Q15/($F$2*Bobinage_Fabrication!I15))</f>
        <v/>
      </c>
      <c r="S15" s="16">
        <f>IF(R15="","",$D$2+R15)</f>
        <v/>
      </c>
      <c r="T15" s="16">
        <f>IF(S15="","",$H$2-S15)</f>
        <v/>
      </c>
      <c r="U15" s="15">
        <f>IF(T15="","",IF(L15&gt;1,"ATTENTION: duty &gt;100%",IF(AND(T15&gt;=0,P15&lt;=$J$2),"OK",IF(P15&gt;$J$2,"ATTENTION: densite maintien elevee","ATTENTION: risque demagnetisation"))))</f>
        <v/>
      </c>
    </row>
    <row r="16" ht="15" customHeight="1" s="28">
      <c r="A16" s="15">
        <f>IF(Config_Coil!A16="","",Config_Coil!A16)</f>
        <v/>
      </c>
      <c r="B16" s="23">
        <f>IF(Config_Coil!A16="","",$B$2*Bobinage_Fabrication!C16/(Bobinage_Fabrication!D16*0.000001))</f>
        <v/>
      </c>
      <c r="C16" s="16">
        <f>IF(Config_Coil!A16="","",Config_Coil!I16)</f>
        <v/>
      </c>
      <c r="D16" s="5">
        <f>IF(Config_Coil!A16="","",C16/B16)</f>
        <v/>
      </c>
      <c r="E16" s="16">
        <f>IF(Config_Coil!A16="","",D16/Bobinage_Fabrication!D16)</f>
        <v/>
      </c>
      <c r="F16" s="5">
        <f>IF(Config_Coil!A16="","",C16*D16)</f>
        <v/>
      </c>
      <c r="G16" s="16">
        <f>IF(Config_Coil!A16="","",F16/($F$2*Bobinage_Fabrication!I16))</f>
        <v/>
      </c>
      <c r="H16" s="23">
        <f>IF(Config_Coil!A16="","",$P$2*Bobinage_Fabrication!B16*D16)</f>
        <v/>
      </c>
      <c r="I16" s="23" t="n"/>
      <c r="J16" s="23">
        <f>IF(Config_Coil!A16="","",IF(OR(I16="",I16=0),H16,I16))</f>
        <v/>
      </c>
      <c r="K16" s="15">
        <f>IF(Config_Coil!A16="","",IF(OR(I16="",I16=0),"estime (N×I)","simule (magpylib)"))</f>
        <v/>
      </c>
      <c r="L16" s="24">
        <f>IF(Config_Coil!A16="","",$N$2)</f>
        <v/>
      </c>
      <c r="M16" s="23">
        <f>IF(L16="","",L16*J16)</f>
        <v/>
      </c>
      <c r="N16" s="16">
        <f>IF(M16="","",M16/9.81*1000)</f>
        <v/>
      </c>
      <c r="O16" s="9">
        <f>IF(L16="","",L16*D16)</f>
        <v/>
      </c>
      <c r="P16" s="5">
        <f>IF(O16="","",O16/Bobinage_Fabrication!D16)</f>
        <v/>
      </c>
      <c r="Q16" s="9">
        <f>IF(L16="","",L16^2*F16)</f>
        <v/>
      </c>
      <c r="R16" s="16">
        <f>IF(Q16="","",Q16/($F$2*Bobinage_Fabrication!I16))</f>
        <v/>
      </c>
      <c r="S16" s="16">
        <f>IF(R16="","",$D$2+R16)</f>
        <v/>
      </c>
      <c r="T16" s="16">
        <f>IF(S16="","",$H$2-S16)</f>
        <v/>
      </c>
      <c r="U16" s="15">
        <f>IF(T16="","",IF(L16&gt;1,"ATTENTION: duty &gt;100%",IF(AND(T16&gt;=0,P16&lt;=$J$2),"OK",IF(P16&gt;$J$2,"ATTENTION: densite maintien elevee","ATTENTION: risque demagnetisation"))))</f>
        <v/>
      </c>
    </row>
    <row r="17" ht="15" customHeight="1" s="28">
      <c r="A17" s="15">
        <f>IF(Config_Coil!A17="","",Config_Coil!A17)</f>
        <v/>
      </c>
      <c r="B17" s="23">
        <f>IF(Config_Coil!A17="","",$B$2*Bobinage_Fabrication!C17/(Bobinage_Fabrication!D17*0.000001))</f>
        <v/>
      </c>
      <c r="C17" s="16">
        <f>IF(Config_Coil!A17="","",Config_Coil!I17)</f>
        <v/>
      </c>
      <c r="D17" s="5">
        <f>IF(Config_Coil!A17="","",C17/B17)</f>
        <v/>
      </c>
      <c r="E17" s="16">
        <f>IF(Config_Coil!A17="","",D17/Bobinage_Fabrication!D17)</f>
        <v/>
      </c>
      <c r="F17" s="5">
        <f>IF(Config_Coil!A17="","",C17*D17)</f>
        <v/>
      </c>
      <c r="G17" s="16">
        <f>IF(Config_Coil!A17="","",F17/($F$2*Bobinage_Fabrication!I17))</f>
        <v/>
      </c>
      <c r="H17" s="23">
        <f>IF(Config_Coil!A17="","",$P$2*Bobinage_Fabrication!B17*D17)</f>
        <v/>
      </c>
      <c r="I17" s="23" t="n"/>
      <c r="J17" s="23">
        <f>IF(Config_Coil!A17="","",IF(OR(I17="",I17=0),H17,I17))</f>
        <v/>
      </c>
      <c r="K17" s="15">
        <f>IF(Config_Coil!A17="","",IF(OR(I17="",I17=0),"estime (N×I)","simule (magpylib)"))</f>
        <v/>
      </c>
      <c r="L17" s="24">
        <f>IF(Config_Coil!A17="","",$N$2)</f>
        <v/>
      </c>
      <c r="M17" s="23">
        <f>IF(L17="","",L17*J17)</f>
        <v/>
      </c>
      <c r="N17" s="16">
        <f>IF(M17="","",M17/9.81*1000)</f>
        <v/>
      </c>
      <c r="O17" s="9">
        <f>IF(L17="","",L17*D17)</f>
        <v/>
      </c>
      <c r="P17" s="5">
        <f>IF(O17="","",O17/Bobinage_Fabrication!D17)</f>
        <v/>
      </c>
      <c r="Q17" s="9">
        <f>IF(L17="","",L17^2*F17)</f>
        <v/>
      </c>
      <c r="R17" s="16">
        <f>IF(Q17="","",Q17/($F$2*Bobinage_Fabrication!I17))</f>
        <v/>
      </c>
      <c r="S17" s="16">
        <f>IF(R17="","",$D$2+R17)</f>
        <v/>
      </c>
      <c r="T17" s="16">
        <f>IF(S17="","",$H$2-S17)</f>
        <v/>
      </c>
      <c r="U17" s="15">
        <f>IF(T17="","",IF(L17&gt;1,"ATTENTION: duty &gt;100%",IF(AND(T17&gt;=0,P17&lt;=$J$2),"OK",IF(P17&gt;$J$2,"ATTENTION: densite maintien elevee","ATTENTION: risque demagnetisation"))))</f>
        <v/>
      </c>
    </row>
    <row r="18" ht="15" customHeight="1" s="28">
      <c r="A18" s="15">
        <f>IF(Config_Coil!A18="","",Config_Coil!A18)</f>
        <v/>
      </c>
      <c r="B18" s="23">
        <f>IF(Config_Coil!A18="","",$B$2*Bobinage_Fabrication!C18/(Bobinage_Fabrication!D18*0.000001))</f>
        <v/>
      </c>
      <c r="C18" s="16">
        <f>IF(Config_Coil!A18="","",Config_Coil!I18)</f>
        <v/>
      </c>
      <c r="D18" s="5">
        <f>IF(Config_Coil!A18="","",C18/B18)</f>
        <v/>
      </c>
      <c r="E18" s="16">
        <f>IF(Config_Coil!A18="","",D18/Bobinage_Fabrication!D18)</f>
        <v/>
      </c>
      <c r="F18" s="5">
        <f>IF(Config_Coil!A18="","",C18*D18)</f>
        <v/>
      </c>
      <c r="G18" s="16">
        <f>IF(Config_Coil!A18="","",F18/($F$2*Bobinage_Fabrication!I18))</f>
        <v/>
      </c>
      <c r="H18" s="23">
        <f>IF(Config_Coil!A18="","",$P$2*Bobinage_Fabrication!B18*D18)</f>
        <v/>
      </c>
      <c r="I18" s="23" t="n"/>
      <c r="J18" s="23">
        <f>IF(Config_Coil!A18="","",IF(OR(I18="",I18=0),H18,I18))</f>
        <v/>
      </c>
      <c r="K18" s="15">
        <f>IF(Config_Coil!A18="","",IF(OR(I18="",I18=0),"estime (N×I)","simule (magpylib)"))</f>
        <v/>
      </c>
      <c r="L18" s="24">
        <f>IF(Config_Coil!A18="","",$N$2)</f>
        <v/>
      </c>
      <c r="M18" s="23">
        <f>IF(L18="","",L18*J18)</f>
        <v/>
      </c>
      <c r="N18" s="16">
        <f>IF(M18="","",M18/9.81*1000)</f>
        <v/>
      </c>
      <c r="O18" s="9">
        <f>IF(L18="","",L18*D18)</f>
        <v/>
      </c>
      <c r="P18" s="5">
        <f>IF(O18="","",O18/Bobinage_Fabrication!D18)</f>
        <v/>
      </c>
      <c r="Q18" s="9">
        <f>IF(L18="","",L18^2*F18)</f>
        <v/>
      </c>
      <c r="R18" s="16">
        <f>IF(Q18="","",Q18/($F$2*Bobinage_Fabrication!I18))</f>
        <v/>
      </c>
      <c r="S18" s="16">
        <f>IF(R18="","",$D$2+R18)</f>
        <v/>
      </c>
      <c r="T18" s="16">
        <f>IF(S18="","",$H$2-S18)</f>
        <v/>
      </c>
      <c r="U18" s="15">
        <f>IF(T18="","",IF(L18&gt;1,"ATTENTION: duty &gt;100%",IF(AND(T18&gt;=0,P18&lt;=$J$2),"OK",IF(P18&gt;$J$2,"ATTENTION: densite maintien elevee","ATTENTION: risque demagnetisation"))))</f>
        <v/>
      </c>
    </row>
    <row r="19" ht="15" customHeight="1" s="28">
      <c r="A19" s="15">
        <f>IF(Config_Coil!A19="","",Config_Coil!A19)</f>
        <v/>
      </c>
      <c r="B19" s="23">
        <f>IF(Config_Coil!A19="","",$B$2*Bobinage_Fabrication!C19/(Bobinage_Fabrication!D19*0.000001))</f>
        <v/>
      </c>
      <c r="C19" s="16">
        <f>IF(Config_Coil!A19="","",Config_Coil!I19)</f>
        <v/>
      </c>
      <c r="D19" s="5">
        <f>IF(Config_Coil!A19="","",C19/B19)</f>
        <v/>
      </c>
      <c r="E19" s="16">
        <f>IF(Config_Coil!A19="","",D19/Bobinage_Fabrication!D19)</f>
        <v/>
      </c>
      <c r="F19" s="5">
        <f>IF(Config_Coil!A19="","",C19*D19)</f>
        <v/>
      </c>
      <c r="G19" s="16">
        <f>IF(Config_Coil!A19="","",F19/($F$2*Bobinage_Fabrication!I19))</f>
        <v/>
      </c>
      <c r="H19" s="23">
        <f>IF(Config_Coil!A19="","",$P$2*Bobinage_Fabrication!B19*D19)</f>
        <v/>
      </c>
      <c r="I19" s="23" t="n"/>
      <c r="J19" s="23">
        <f>IF(Config_Coil!A19="","",IF(OR(I19="",I19=0),H19,I19))</f>
        <v/>
      </c>
      <c r="K19" s="15">
        <f>IF(Config_Coil!A19="","",IF(OR(I19="",I19=0),"estime (N×I)","simule (magpylib)"))</f>
        <v/>
      </c>
      <c r="L19" s="24">
        <f>IF(Config_Coil!A19="","",$N$2)</f>
        <v/>
      </c>
      <c r="M19" s="23">
        <f>IF(L19="","",L19*J19)</f>
        <v/>
      </c>
      <c r="N19" s="16">
        <f>IF(M19="","",M19/9.81*1000)</f>
        <v/>
      </c>
      <c r="O19" s="9">
        <f>IF(L19="","",L19*D19)</f>
        <v/>
      </c>
      <c r="P19" s="5">
        <f>IF(O19="","",O19/Bobinage_Fabrication!D19)</f>
        <v/>
      </c>
      <c r="Q19" s="9">
        <f>IF(L19="","",L19^2*F19)</f>
        <v/>
      </c>
      <c r="R19" s="16">
        <f>IF(Q19="","",Q19/($F$2*Bobinage_Fabrication!I19))</f>
        <v/>
      </c>
      <c r="S19" s="16">
        <f>IF(R19="","",$D$2+R19)</f>
        <v/>
      </c>
      <c r="T19" s="16">
        <f>IF(S19="","",$H$2-S19)</f>
        <v/>
      </c>
      <c r="U19" s="15">
        <f>IF(T19="","",IF(L19&gt;1,"ATTENTION: duty &gt;100%",IF(AND(T19&gt;=0,P19&lt;=$J$2),"OK",IF(P19&gt;$J$2,"ATTENTION: densite maintien elevee","ATTENTION: risque demagnetisation"))))</f>
        <v/>
      </c>
    </row>
    <row r="20" ht="15" customHeight="1" s="28">
      <c r="A20" s="15">
        <f>IF(Config_Coil!A20="","",Config_Coil!A20)</f>
        <v/>
      </c>
      <c r="B20" s="23">
        <f>IF(Config_Coil!A20="","",$B$2*Bobinage_Fabrication!C20/(Bobinage_Fabrication!D20*0.000001))</f>
        <v/>
      </c>
      <c r="C20" s="16">
        <f>IF(Config_Coil!A20="","",Config_Coil!I20)</f>
        <v/>
      </c>
      <c r="D20" s="5">
        <f>IF(Config_Coil!A20="","",C20/B20)</f>
        <v/>
      </c>
      <c r="E20" s="16">
        <f>IF(Config_Coil!A20="","",D20/Bobinage_Fabrication!D20)</f>
        <v/>
      </c>
      <c r="F20" s="5">
        <f>IF(Config_Coil!A20="","",C20*D20)</f>
        <v/>
      </c>
      <c r="G20" s="16">
        <f>IF(Config_Coil!A20="","",F20/($F$2*Bobinage_Fabrication!I20))</f>
        <v/>
      </c>
      <c r="H20" s="23">
        <f>IF(Config_Coil!A20="","",$P$2*Bobinage_Fabrication!B20*D20)</f>
        <v/>
      </c>
      <c r="I20" s="23" t="n"/>
      <c r="J20" s="23">
        <f>IF(Config_Coil!A20="","",IF(OR(I20="",I20=0),H20,I20))</f>
        <v/>
      </c>
      <c r="K20" s="15">
        <f>IF(Config_Coil!A20="","",IF(OR(I20="",I20=0),"estime (N×I)","simule (magpylib)"))</f>
        <v/>
      </c>
      <c r="L20" s="24">
        <f>IF(Config_Coil!A20="","",$N$2)</f>
        <v/>
      </c>
      <c r="M20" s="23">
        <f>IF(L20="","",L20*J20)</f>
        <v/>
      </c>
      <c r="N20" s="16">
        <f>IF(M20="","",M20/9.81*1000)</f>
        <v/>
      </c>
      <c r="O20" s="9">
        <f>IF(L20="","",L20*D20)</f>
        <v/>
      </c>
      <c r="P20" s="5">
        <f>IF(O20="","",O20/Bobinage_Fabrication!D20)</f>
        <v/>
      </c>
      <c r="Q20" s="9">
        <f>IF(L20="","",L20^2*F20)</f>
        <v/>
      </c>
      <c r="R20" s="16">
        <f>IF(Q20="","",Q20/($F$2*Bobinage_Fabrication!I20))</f>
        <v/>
      </c>
      <c r="S20" s="16">
        <f>IF(R20="","",$D$2+R20)</f>
        <v/>
      </c>
      <c r="T20" s="16">
        <f>IF(S20="","",$H$2-S20)</f>
        <v/>
      </c>
      <c r="U20" s="15">
        <f>IF(T20="","",IF(L20&gt;1,"ATTENTION: duty &gt;100%",IF(AND(T20&gt;=0,P20&lt;=$J$2),"OK",IF(P20&gt;$J$2,"ATTENTION: densite maintien elevee","ATTENTION: risque demagnetisation"))))</f>
        <v/>
      </c>
    </row>
    <row r="21" ht="15" customHeight="1" s="28">
      <c r="A21" s="15">
        <f>IF(Config_Coil!A21="","",Config_Coil!A21)</f>
        <v/>
      </c>
      <c r="B21" s="23">
        <f>IF(Config_Coil!A21="","",$B$2*Bobinage_Fabrication!C21/(Bobinage_Fabrication!D21*0.000001))</f>
        <v/>
      </c>
      <c r="C21" s="16">
        <f>IF(Config_Coil!A21="","",Config_Coil!I21)</f>
        <v/>
      </c>
      <c r="D21" s="5">
        <f>IF(Config_Coil!A21="","",C21/B21)</f>
        <v/>
      </c>
      <c r="E21" s="16">
        <f>IF(Config_Coil!A21="","",D21/Bobinage_Fabrication!D21)</f>
        <v/>
      </c>
      <c r="F21" s="5">
        <f>IF(Config_Coil!A21="","",C21*D21)</f>
        <v/>
      </c>
      <c r="G21" s="16">
        <f>IF(Config_Coil!A21="","",F21/($F$2*Bobinage_Fabrication!I21))</f>
        <v/>
      </c>
      <c r="H21" s="23">
        <f>IF(Config_Coil!A21="","",$P$2*Bobinage_Fabrication!B21*D21)</f>
        <v/>
      </c>
      <c r="I21" s="23" t="n"/>
      <c r="J21" s="23">
        <f>IF(Config_Coil!A21="","",IF(OR(I21="",I21=0),H21,I21))</f>
        <v/>
      </c>
      <c r="K21" s="15">
        <f>IF(Config_Coil!A21="","",IF(OR(I21="",I21=0),"estime (N×I)","simule (magpylib)"))</f>
        <v/>
      </c>
      <c r="L21" s="24">
        <f>IF(Config_Coil!A21="","",$N$2)</f>
        <v/>
      </c>
      <c r="M21" s="23">
        <f>IF(L21="","",L21*J21)</f>
        <v/>
      </c>
      <c r="N21" s="16">
        <f>IF(M21="","",M21/9.81*1000)</f>
        <v/>
      </c>
      <c r="O21" s="9">
        <f>IF(L21="","",L21*D21)</f>
        <v/>
      </c>
      <c r="P21" s="5">
        <f>IF(O21="","",O21/Bobinage_Fabrication!D21)</f>
        <v/>
      </c>
      <c r="Q21" s="9">
        <f>IF(L21="","",L21^2*F21)</f>
        <v/>
      </c>
      <c r="R21" s="16">
        <f>IF(Q21="","",Q21/($F$2*Bobinage_Fabrication!I21))</f>
        <v/>
      </c>
      <c r="S21" s="16">
        <f>IF(R21="","",$D$2+R21)</f>
        <v/>
      </c>
      <c r="T21" s="16">
        <f>IF(S21="","",$H$2-S21)</f>
        <v/>
      </c>
      <c r="U21" s="15">
        <f>IF(T21="","",IF(L21&gt;1,"ATTENTION: duty &gt;100%",IF(AND(T21&gt;=0,P21&lt;=$J$2),"OK",IF(P21&gt;$J$2,"ATTENTION: densite maintien elevee","ATTENTION: risque demagnetisation"))))</f>
        <v/>
      </c>
    </row>
    <row r="22" ht="15" customHeight="1" s="28">
      <c r="A22" s="15">
        <f>IF(Config_Coil!A22="","",Config_Coil!A22)</f>
        <v/>
      </c>
      <c r="B22" s="23">
        <f>IF(Config_Coil!A22="","",$B$2*Bobinage_Fabrication!C22/(Bobinage_Fabrication!D22*0.000001))</f>
        <v/>
      </c>
      <c r="C22" s="16">
        <f>IF(Config_Coil!A22="","",Config_Coil!I22)</f>
        <v/>
      </c>
      <c r="D22" s="5">
        <f>IF(Config_Coil!A22="","",C22/B22)</f>
        <v/>
      </c>
      <c r="E22" s="16">
        <f>IF(Config_Coil!A22="","",D22/Bobinage_Fabrication!D22)</f>
        <v/>
      </c>
      <c r="F22" s="5">
        <f>IF(Config_Coil!A22="","",C22*D22)</f>
        <v/>
      </c>
      <c r="G22" s="16">
        <f>IF(Config_Coil!A22="","",F22/($F$2*Bobinage_Fabrication!I22))</f>
        <v/>
      </c>
      <c r="H22" s="23">
        <f>IF(Config_Coil!A22="","",$P$2*Bobinage_Fabrication!B22*D22)</f>
        <v/>
      </c>
      <c r="I22" s="23" t="n"/>
      <c r="J22" s="23">
        <f>IF(Config_Coil!A22="","",IF(OR(I22="",I22=0),H22,I22))</f>
        <v/>
      </c>
      <c r="K22" s="15">
        <f>IF(Config_Coil!A22="","",IF(OR(I22="",I22=0),"estime (N×I)","simule (magpylib)"))</f>
        <v/>
      </c>
      <c r="L22" s="24">
        <f>IF(Config_Coil!A22="","",$N$2)</f>
        <v/>
      </c>
      <c r="M22" s="23">
        <f>IF(L22="","",L22*J22)</f>
        <v/>
      </c>
      <c r="N22" s="16">
        <f>IF(M22="","",M22/9.81*1000)</f>
        <v/>
      </c>
      <c r="O22" s="9">
        <f>IF(L22="","",L22*D22)</f>
        <v/>
      </c>
      <c r="P22" s="5">
        <f>IF(O22="","",O22/Bobinage_Fabrication!D22)</f>
        <v/>
      </c>
      <c r="Q22" s="9">
        <f>IF(L22="","",L22^2*F22)</f>
        <v/>
      </c>
      <c r="R22" s="16">
        <f>IF(Q22="","",Q22/($F$2*Bobinage_Fabrication!I22))</f>
        <v/>
      </c>
      <c r="S22" s="16">
        <f>IF(R22="","",$D$2+R22)</f>
        <v/>
      </c>
      <c r="T22" s="16">
        <f>IF(S22="","",$H$2-S22)</f>
        <v/>
      </c>
      <c r="U22" s="15">
        <f>IF(T22="","",IF(L22&gt;1,"ATTENTION: duty &gt;100%",IF(AND(T22&gt;=0,P22&lt;=$J$2),"OK",IF(P22&gt;$J$2,"ATTENTION: densite maintien elevee","ATTENTION: risque demagnetisation"))))</f>
        <v/>
      </c>
    </row>
    <row r="23" ht="15" customHeight="1" s="28">
      <c r="A23" s="15">
        <f>IF(Config_Coil!A23="","",Config_Coil!A23)</f>
        <v/>
      </c>
      <c r="B23" s="23">
        <f>IF(Config_Coil!A23="","",$B$2*Bobinage_Fabrication!C23/(Bobinage_Fabrication!D23*0.000001))</f>
        <v/>
      </c>
      <c r="C23" s="16">
        <f>IF(Config_Coil!A23="","",Config_Coil!I23)</f>
        <v/>
      </c>
      <c r="D23" s="5">
        <f>IF(Config_Coil!A23="","",C23/B23)</f>
        <v/>
      </c>
      <c r="E23" s="16">
        <f>IF(Config_Coil!A23="","",D23/Bobinage_Fabrication!D23)</f>
        <v/>
      </c>
      <c r="F23" s="5">
        <f>IF(Config_Coil!A23="","",C23*D23)</f>
        <v/>
      </c>
      <c r="G23" s="16">
        <f>IF(Config_Coil!A23="","",F23/($F$2*Bobinage_Fabrication!I23))</f>
        <v/>
      </c>
      <c r="H23" s="23">
        <f>IF(Config_Coil!A23="","",$P$2*Bobinage_Fabrication!B23*D23)</f>
        <v/>
      </c>
      <c r="I23" s="23" t="n"/>
      <c r="J23" s="23">
        <f>IF(Config_Coil!A23="","",IF(OR(I23="",I23=0),H23,I23))</f>
        <v/>
      </c>
      <c r="K23" s="15">
        <f>IF(Config_Coil!A23="","",IF(OR(I23="",I23=0),"estime (N×I)","simule (magpylib)"))</f>
        <v/>
      </c>
      <c r="L23" s="24">
        <f>IF(Config_Coil!A23="","",$N$2)</f>
        <v/>
      </c>
      <c r="M23" s="23">
        <f>IF(L23="","",L23*J23)</f>
        <v/>
      </c>
      <c r="N23" s="16">
        <f>IF(M23="","",M23/9.81*1000)</f>
        <v/>
      </c>
      <c r="O23" s="9">
        <f>IF(L23="","",L23*D23)</f>
        <v/>
      </c>
      <c r="P23" s="5">
        <f>IF(O23="","",O23/Bobinage_Fabrication!D23)</f>
        <v/>
      </c>
      <c r="Q23" s="9">
        <f>IF(L23="","",L23^2*F23)</f>
        <v/>
      </c>
      <c r="R23" s="16">
        <f>IF(Q23="","",Q23/($F$2*Bobinage_Fabrication!I23))</f>
        <v/>
      </c>
      <c r="S23" s="16">
        <f>IF(R23="","",$D$2+R23)</f>
        <v/>
      </c>
      <c r="T23" s="16">
        <f>IF(S23="","",$H$2-S23)</f>
        <v/>
      </c>
      <c r="U23" s="15">
        <f>IF(T23="","",IF(L23&gt;1,"ATTENTION: duty &gt;100%",IF(AND(T23&gt;=0,P23&lt;=$J$2),"OK",IF(P23&gt;$J$2,"ATTENTION: densite maintien elevee","ATTENTION: risque demagnetisation"))))</f>
        <v/>
      </c>
    </row>
    <row r="24" ht="15" customHeight="1" s="28">
      <c r="A24" s="15">
        <f>IF(Config_Coil!A24="","",Config_Coil!A24)</f>
        <v/>
      </c>
      <c r="B24" s="23">
        <f>IF(Config_Coil!A24="","",$B$2*Bobinage_Fabrication!C24/(Bobinage_Fabrication!D24*0.000001))</f>
        <v/>
      </c>
      <c r="C24" s="16">
        <f>IF(Config_Coil!A24="","",Config_Coil!I24)</f>
        <v/>
      </c>
      <c r="D24" s="5">
        <f>IF(Config_Coil!A24="","",C24/B24)</f>
        <v/>
      </c>
      <c r="E24" s="16">
        <f>IF(Config_Coil!A24="","",D24/Bobinage_Fabrication!D24)</f>
        <v/>
      </c>
      <c r="F24" s="5">
        <f>IF(Config_Coil!A24="","",C24*D24)</f>
        <v/>
      </c>
      <c r="G24" s="16">
        <f>IF(Config_Coil!A24="","",F24/($F$2*Bobinage_Fabrication!I24))</f>
        <v/>
      </c>
      <c r="H24" s="23">
        <f>IF(Config_Coil!A24="","",$P$2*Bobinage_Fabrication!B24*D24)</f>
        <v/>
      </c>
      <c r="I24" s="23" t="n"/>
      <c r="J24" s="23">
        <f>IF(Config_Coil!A24="","",IF(OR(I24="",I24=0),H24,I24))</f>
        <v/>
      </c>
      <c r="K24" s="15">
        <f>IF(Config_Coil!A24="","",IF(OR(I24="",I24=0),"estime (N×I)","simule (magpylib)"))</f>
        <v/>
      </c>
      <c r="L24" s="24">
        <f>IF(Config_Coil!A24="","",$N$2)</f>
        <v/>
      </c>
      <c r="M24" s="23">
        <f>IF(L24="","",L24*J24)</f>
        <v/>
      </c>
      <c r="N24" s="16">
        <f>IF(M24="","",M24/9.81*1000)</f>
        <v/>
      </c>
      <c r="O24" s="9">
        <f>IF(L24="","",L24*D24)</f>
        <v/>
      </c>
      <c r="P24" s="5">
        <f>IF(O24="","",O24/Bobinage_Fabrication!D24)</f>
        <v/>
      </c>
      <c r="Q24" s="9">
        <f>IF(L24="","",L24^2*F24)</f>
        <v/>
      </c>
      <c r="R24" s="16">
        <f>IF(Q24="","",Q24/($F$2*Bobinage_Fabrication!I24))</f>
        <v/>
      </c>
      <c r="S24" s="16">
        <f>IF(R24="","",$D$2+R24)</f>
        <v/>
      </c>
      <c r="T24" s="16">
        <f>IF(S24="","",$H$2-S24)</f>
        <v/>
      </c>
      <c r="U24" s="15">
        <f>IF(T24="","",IF(L24&gt;1,"ATTENTION: duty &gt;100%",IF(AND(T24&gt;=0,P24&lt;=$J$2),"OK",IF(P24&gt;$J$2,"ATTENTION: densite maintien elevee","ATTENTION: risque demagnetisation"))))</f>
        <v/>
      </c>
    </row>
    <row r="25" ht="15" customHeight="1" s="28">
      <c r="A25" s="15">
        <f>IF(Config_Coil!A25="","",Config_Coil!A25)</f>
        <v/>
      </c>
      <c r="B25" s="23">
        <f>IF(Config_Coil!A25="","",$B$2*Bobinage_Fabrication!C25/(Bobinage_Fabrication!D25*0.000001))</f>
        <v/>
      </c>
      <c r="C25" s="16">
        <f>IF(Config_Coil!A25="","",Config_Coil!I25)</f>
        <v/>
      </c>
      <c r="D25" s="5">
        <f>IF(Config_Coil!A25="","",C25/B25)</f>
        <v/>
      </c>
      <c r="E25" s="16">
        <f>IF(Config_Coil!A25="","",D25/Bobinage_Fabrication!D25)</f>
        <v/>
      </c>
      <c r="F25" s="5">
        <f>IF(Config_Coil!A25="","",C25*D25)</f>
        <v/>
      </c>
      <c r="G25" s="16">
        <f>IF(Config_Coil!A25="","",F25/($F$2*Bobinage_Fabrication!I25))</f>
        <v/>
      </c>
      <c r="H25" s="23">
        <f>IF(Config_Coil!A25="","",$P$2*Bobinage_Fabrication!B25*D25)</f>
        <v/>
      </c>
      <c r="I25" s="23" t="n"/>
      <c r="J25" s="23">
        <f>IF(Config_Coil!A25="","",IF(OR(I25="",I25=0),H25,I25))</f>
        <v/>
      </c>
      <c r="K25" s="15">
        <f>IF(Config_Coil!A25="","",IF(OR(I25="",I25=0),"estime (N×I)","simule (magpylib)"))</f>
        <v/>
      </c>
      <c r="L25" s="24">
        <f>IF(Config_Coil!A25="","",$N$2)</f>
        <v/>
      </c>
      <c r="M25" s="23">
        <f>IF(L25="","",L25*J25)</f>
        <v/>
      </c>
      <c r="N25" s="16">
        <f>IF(M25="","",M25/9.81*1000)</f>
        <v/>
      </c>
      <c r="O25" s="9">
        <f>IF(L25="","",L25*D25)</f>
        <v/>
      </c>
      <c r="P25" s="5">
        <f>IF(O25="","",O25/Bobinage_Fabrication!D25)</f>
        <v/>
      </c>
      <c r="Q25" s="9">
        <f>IF(L25="","",L25^2*F25)</f>
        <v/>
      </c>
      <c r="R25" s="16">
        <f>IF(Q25="","",Q25/($F$2*Bobinage_Fabrication!I25))</f>
        <v/>
      </c>
      <c r="S25" s="16">
        <f>IF(R25="","",$D$2+R25)</f>
        <v/>
      </c>
      <c r="T25" s="16">
        <f>IF(S25="","",$H$2-S25)</f>
        <v/>
      </c>
      <c r="U25" s="15">
        <f>IF(T25="","",IF(L25&gt;1,"ATTENTION: duty &gt;100%",IF(AND(T25&gt;=0,P25&lt;=$J$2),"OK",IF(P25&gt;$J$2,"ATTENTION: densite maintien elevee","ATTENTION: risque demagnetisation"))))</f>
        <v/>
      </c>
    </row>
  </sheetData>
  <mergeCells count="4">
    <mergeCell ref="A1:U1"/>
    <mergeCell ref="B4:G4"/>
    <mergeCell ref="A3:U3"/>
    <mergeCell ref="H4:U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7B5EA7"/>
    <outlinePr summaryBelow="1" summaryRight="1"/>
    <pageSetUpPr/>
  </sheetPr>
  <dimension ref="A1:G25"/>
  <sheetViews>
    <sheetView zoomScaleNormal="100" workbookViewId="0">
      <pane ySplit="5" topLeftCell="A6" activePane="bottomLeft" state="frozen"/>
      <selection pane="bottomLeft" activeCell="A1" sqref="A1:G1"/>
    </sheetView>
  </sheetViews>
  <sheetFormatPr baseColWidth="10" defaultColWidth="8.7109375" defaultRowHeight="15"/>
  <cols>
    <col width="22" customWidth="1" style="28" min="1" max="3"/>
    <col width="18" customWidth="1" style="28" min="4" max="4"/>
    <col width="26" customWidth="1" style="28" min="5" max="6"/>
    <col width="16" customWidth="1" style="28" min="7" max="7"/>
  </cols>
  <sheetData>
    <row r="1" ht="17.25" customHeight="1" s="28">
      <c r="A1" s="27" t="inlineStr">
        <is>
          <t>Mesures — calibration a partir de la resistance mesuree</t>
        </is>
      </c>
    </row>
    <row r="2" ht="75" customHeight="1" s="28">
      <c r="A2" s="29" t="inlineStr">
        <is>
          <t>Mesures reelles faites au multimetre APRES bobinage (optionnel). resistance_measured_ohm (bleu) = ta mesure reelle. Si elle est renseignee, copper_diameter_effective_mm est recalcule a partir de cette resistance (diametre de cuivre qui, avec la longueur de fil theorique, donnerait exactement cette resistance). Compare-le a copper_diameter_theorique_mm (repris de Config_Coil) : si l'ecart est significatif, reporte copper_diameter_effective_mm dans Config_Coil!wire_copper_diameter_mm (en ecrasant la formule automatique) pour recaler tout le modele (Bobinage_Fabrication, Electrique) sur ta fabrication reelle.</t>
        </is>
      </c>
    </row>
    <row r="3"/>
    <row r="5" ht="36" customHeight="1" s="28">
      <c r="A5" s="1" t="inlineStr">
        <is>
          <t>config_name</t>
        </is>
      </c>
      <c r="B5" s="1" t="inlineStr">
        <is>
          <t>resistance_theorique_ohm</t>
        </is>
      </c>
      <c r="C5" s="1" t="inlineStr">
        <is>
          <t>resistance_measured_ohm</t>
        </is>
      </c>
      <c r="D5" s="1" t="inlineStr">
        <is>
          <t>ecart_resistance_pct</t>
        </is>
      </c>
      <c r="E5" s="1" t="inlineStr">
        <is>
          <t>copper_diameter_theorique_mm</t>
        </is>
      </c>
      <c r="F5" s="1" t="inlineStr">
        <is>
          <t>copper_diameter_effective_mm</t>
        </is>
      </c>
      <c r="G5" s="1" t="inlineStr">
        <is>
          <t>ecart_diametre_mm</t>
        </is>
      </c>
    </row>
    <row r="6" ht="15" customHeight="1" s="28">
      <c r="A6" s="15">
        <f>IF(Config_Coil!A6="","",Config_Coil!A6)</f>
        <v/>
      </c>
      <c r="B6" s="23">
        <f>IF(Config_Coil!A6="","",Electrique!B6)</f>
        <v/>
      </c>
      <c r="C6" s="25" t="n"/>
      <c r="D6" s="26">
        <f>IF(OR(A6="",C6="",C6=0),"",(C6-B6)/B6*100)</f>
        <v/>
      </c>
      <c r="E6" s="9">
        <f>IF(Config_Coil!A6="","",Config_Coil!F6)</f>
        <v/>
      </c>
      <c r="F6" s="9">
        <f>IF(OR(A6="",C6="",C6=0),"",2*SQRT(Electrique!$B$2*Bobinage_Fabrication!C6/(C6*PI()))*1000)</f>
        <v/>
      </c>
      <c r="G6" s="9">
        <f>IF(F6="","",F6-E6)</f>
        <v/>
      </c>
    </row>
    <row r="7" ht="15" customHeight="1" s="28">
      <c r="A7" s="15">
        <f>IF(Config_Coil!A7="","",Config_Coil!A7)</f>
        <v/>
      </c>
      <c r="B7" s="23">
        <f>IF(Config_Coil!A7="","",Electrique!B7)</f>
        <v/>
      </c>
      <c r="C7" s="25" t="n"/>
      <c r="D7" s="26">
        <f>IF(OR(A7="",C7="",C7=0),"",(C7-B7)/B7*100)</f>
        <v/>
      </c>
      <c r="E7" s="9">
        <f>IF(Config_Coil!A7="","",Config_Coil!F7)</f>
        <v/>
      </c>
      <c r="F7" s="9">
        <f>IF(OR(A7="",C7="",C7=0),"",2*SQRT(Electrique!$B$2*Bobinage_Fabrication!C7/(C7*PI()))*1000)</f>
        <v/>
      </c>
      <c r="G7" s="9">
        <f>IF(F7="","",F7-E7)</f>
        <v/>
      </c>
    </row>
    <row r="8" ht="15" customHeight="1" s="28">
      <c r="A8" s="15">
        <f>IF(Config_Coil!A8="","",Config_Coil!A8)</f>
        <v/>
      </c>
      <c r="B8" s="23">
        <f>IF(Config_Coil!A8="","",Electrique!B8)</f>
        <v/>
      </c>
      <c r="C8" s="25" t="n"/>
      <c r="D8" s="26">
        <f>IF(OR(A8="",C8="",C8=0),"",(C8-B8)/B8*100)</f>
        <v/>
      </c>
      <c r="E8" s="9">
        <f>IF(Config_Coil!A8="","",Config_Coil!F8)</f>
        <v/>
      </c>
      <c r="F8" s="9">
        <f>IF(OR(A8="",C8="",C8=0),"",2*SQRT(Electrique!$B$2*Bobinage_Fabrication!C8/(C8*PI()))*1000)</f>
        <v/>
      </c>
      <c r="G8" s="9">
        <f>IF(F8="","",F8-E8)</f>
        <v/>
      </c>
    </row>
    <row r="9" ht="15" customHeight="1" s="28">
      <c r="A9" s="15">
        <f>IF(Config_Coil!A9="","",Config_Coil!A9)</f>
        <v/>
      </c>
      <c r="B9" s="23">
        <f>IF(Config_Coil!A9="","",Electrique!B9)</f>
        <v/>
      </c>
      <c r="C9" s="25" t="n"/>
      <c r="D9" s="26">
        <f>IF(OR(A9="",C9="",C9=0),"",(C9-B9)/B9*100)</f>
        <v/>
      </c>
      <c r="E9" s="9">
        <f>IF(Config_Coil!A9="","",Config_Coil!F9)</f>
        <v/>
      </c>
      <c r="F9" s="9">
        <f>IF(OR(A9="",C9="",C9=0),"",2*SQRT(Electrique!$B$2*Bobinage_Fabrication!C9/(C9*PI()))*1000)</f>
        <v/>
      </c>
      <c r="G9" s="9">
        <f>IF(F9="","",F9-E9)</f>
        <v/>
      </c>
    </row>
    <row r="10" ht="15" customHeight="1" s="28">
      <c r="A10" s="15">
        <f>IF(Config_Coil!A10="","",Config_Coil!A10)</f>
        <v/>
      </c>
      <c r="B10" s="23">
        <f>IF(Config_Coil!A10="","",Electrique!B10)</f>
        <v/>
      </c>
      <c r="C10" s="25" t="n"/>
      <c r="D10" s="26">
        <f>IF(OR(A10="",C10="",C10=0),"",(C10-B10)/B10*100)</f>
        <v/>
      </c>
      <c r="E10" s="9">
        <f>IF(Config_Coil!A10="","",Config_Coil!F10)</f>
        <v/>
      </c>
      <c r="F10" s="9">
        <f>IF(OR(A10="",C10="",C10=0),"",2*SQRT(Electrique!$B$2*Bobinage_Fabrication!C10/(C10*PI()))*1000)</f>
        <v/>
      </c>
      <c r="G10" s="9">
        <f>IF(F10="","",F10-E10)</f>
        <v/>
      </c>
    </row>
    <row r="11" ht="15" customHeight="1" s="28">
      <c r="A11" s="15">
        <f>IF(Config_Coil!A11="","",Config_Coil!A11)</f>
        <v/>
      </c>
      <c r="B11" s="23">
        <f>IF(Config_Coil!A11="","",Electrique!B11)</f>
        <v/>
      </c>
      <c r="C11" s="25" t="n"/>
      <c r="D11" s="26">
        <f>IF(OR(A11="",C11="",C11=0),"",(C11-B11)/B11*100)</f>
        <v/>
      </c>
      <c r="E11" s="9">
        <f>IF(Config_Coil!A11="","",Config_Coil!F11)</f>
        <v/>
      </c>
      <c r="F11" s="9">
        <f>IF(OR(A11="",C11="",C11=0),"",2*SQRT(Electrique!$B$2*Bobinage_Fabrication!C11/(C11*PI()))*1000)</f>
        <v/>
      </c>
      <c r="G11" s="9">
        <f>IF(F11="","",F11-E11)</f>
        <v/>
      </c>
    </row>
    <row r="12" ht="15" customHeight="1" s="28">
      <c r="A12" s="15">
        <f>IF(Config_Coil!A12="","",Config_Coil!A12)</f>
        <v/>
      </c>
      <c r="B12" s="23">
        <f>IF(Config_Coil!A12="","",Electrique!B12)</f>
        <v/>
      </c>
      <c r="C12" s="25" t="n"/>
      <c r="D12" s="26">
        <f>IF(OR(A12="",C12="",C12=0),"",(C12-B12)/B12*100)</f>
        <v/>
      </c>
      <c r="E12" s="9">
        <f>IF(Config_Coil!A12="","",Config_Coil!F12)</f>
        <v/>
      </c>
      <c r="F12" s="9">
        <f>IF(OR(A12="",C12="",C12=0),"",2*SQRT(Electrique!$B$2*Bobinage_Fabrication!C12/(C12*PI()))*1000)</f>
        <v/>
      </c>
      <c r="G12" s="9">
        <f>IF(F12="","",F12-E12)</f>
        <v/>
      </c>
    </row>
    <row r="13" ht="15" customHeight="1" s="28">
      <c r="A13" s="15">
        <f>IF(Config_Coil!A13="","",Config_Coil!A13)</f>
        <v/>
      </c>
      <c r="B13" s="23">
        <f>IF(Config_Coil!A13="","",Electrique!B13)</f>
        <v/>
      </c>
      <c r="C13" s="25" t="n"/>
      <c r="D13" s="26">
        <f>IF(OR(A13="",C13="",C13=0),"",(C13-B13)/B13*100)</f>
        <v/>
      </c>
      <c r="E13" s="9">
        <f>IF(Config_Coil!A13="","",Config_Coil!F13)</f>
        <v/>
      </c>
      <c r="F13" s="9">
        <f>IF(OR(A13="",C13="",C13=0),"",2*SQRT(Electrique!$B$2*Bobinage_Fabrication!C13/(C13*PI()))*1000)</f>
        <v/>
      </c>
      <c r="G13" s="9">
        <f>IF(F13="","",F13-E13)</f>
        <v/>
      </c>
    </row>
    <row r="14" ht="15" customHeight="1" s="28">
      <c r="A14" s="15">
        <f>IF(Config_Coil!A14="","",Config_Coil!A14)</f>
        <v/>
      </c>
      <c r="B14" s="23">
        <f>IF(Config_Coil!A14="","",Electrique!B14)</f>
        <v/>
      </c>
      <c r="C14" s="25" t="n"/>
      <c r="D14" s="26">
        <f>IF(OR(A14="",C14="",C14=0),"",(C14-B14)/B14*100)</f>
        <v/>
      </c>
      <c r="E14" s="9">
        <f>IF(Config_Coil!A14="","",Config_Coil!F14)</f>
        <v/>
      </c>
      <c r="F14" s="9">
        <f>IF(OR(A14="",C14="",C14=0),"",2*SQRT(Electrique!$B$2*Bobinage_Fabrication!C14/(C14*PI()))*1000)</f>
        <v/>
      </c>
      <c r="G14" s="9">
        <f>IF(F14="","",F14-E14)</f>
        <v/>
      </c>
    </row>
    <row r="15" ht="15" customHeight="1" s="28">
      <c r="A15" s="15">
        <f>IF(Config_Coil!A15="","",Config_Coil!A15)</f>
        <v/>
      </c>
      <c r="B15" s="23">
        <f>IF(Config_Coil!A15="","",Electrique!B15)</f>
        <v/>
      </c>
      <c r="C15" s="25" t="n"/>
      <c r="D15" s="26">
        <f>IF(OR(A15="",C15="",C15=0),"",(C15-B15)/B15*100)</f>
        <v/>
      </c>
      <c r="E15" s="9">
        <f>IF(Config_Coil!A15="","",Config_Coil!F15)</f>
        <v/>
      </c>
      <c r="F15" s="9">
        <f>IF(OR(A15="",C15="",C15=0),"",2*SQRT(Electrique!$B$2*Bobinage_Fabrication!C15/(C15*PI()))*1000)</f>
        <v/>
      </c>
      <c r="G15" s="9">
        <f>IF(F15="","",F15-E15)</f>
        <v/>
      </c>
    </row>
    <row r="16" ht="15" customHeight="1" s="28">
      <c r="A16" s="15">
        <f>IF(Config_Coil!A16="","",Config_Coil!A16)</f>
        <v/>
      </c>
      <c r="B16" s="23">
        <f>IF(Config_Coil!A16="","",Electrique!B16)</f>
        <v/>
      </c>
      <c r="C16" s="25" t="n"/>
      <c r="D16" s="26">
        <f>IF(OR(A16="",C16="",C16=0),"",(C16-B16)/B16*100)</f>
        <v/>
      </c>
      <c r="E16" s="9">
        <f>IF(Config_Coil!A16="","",Config_Coil!F16)</f>
        <v/>
      </c>
      <c r="F16" s="9">
        <f>IF(OR(A16="",C16="",C16=0),"",2*SQRT(Electrique!$B$2*Bobinage_Fabrication!C16/(C16*PI()))*1000)</f>
        <v/>
      </c>
      <c r="G16" s="9">
        <f>IF(F16="","",F16-E16)</f>
        <v/>
      </c>
    </row>
    <row r="17" ht="15" customHeight="1" s="28">
      <c r="A17" s="15">
        <f>IF(Config_Coil!A17="","",Config_Coil!A17)</f>
        <v/>
      </c>
      <c r="B17" s="23">
        <f>IF(Config_Coil!A17="","",Electrique!B17)</f>
        <v/>
      </c>
      <c r="C17" s="25" t="n"/>
      <c r="D17" s="26">
        <f>IF(OR(A17="",C17="",C17=0),"",(C17-B17)/B17*100)</f>
        <v/>
      </c>
      <c r="E17" s="9">
        <f>IF(Config_Coil!A17="","",Config_Coil!F17)</f>
        <v/>
      </c>
      <c r="F17" s="9">
        <f>IF(OR(A17="",C17="",C17=0),"",2*SQRT(Electrique!$B$2*Bobinage_Fabrication!C17/(C17*PI()))*1000)</f>
        <v/>
      </c>
      <c r="G17" s="9">
        <f>IF(F17="","",F17-E17)</f>
        <v/>
      </c>
    </row>
    <row r="18" ht="15" customHeight="1" s="28">
      <c r="A18" s="15">
        <f>IF(Config_Coil!A18="","",Config_Coil!A18)</f>
        <v/>
      </c>
      <c r="B18" s="23">
        <f>IF(Config_Coil!A18="","",Electrique!B18)</f>
        <v/>
      </c>
      <c r="C18" s="25" t="n"/>
      <c r="D18" s="26">
        <f>IF(OR(A18="",C18="",C18=0),"",(C18-B18)/B18*100)</f>
        <v/>
      </c>
      <c r="E18" s="9">
        <f>IF(Config_Coil!A18="","",Config_Coil!F18)</f>
        <v/>
      </c>
      <c r="F18" s="9">
        <f>IF(OR(A18="",C18="",C18=0),"",2*SQRT(Electrique!$B$2*Bobinage_Fabrication!C18/(C18*PI()))*1000)</f>
        <v/>
      </c>
      <c r="G18" s="9">
        <f>IF(F18="","",F18-E18)</f>
        <v/>
      </c>
    </row>
    <row r="19" ht="15" customHeight="1" s="28">
      <c r="A19" s="15">
        <f>IF(Config_Coil!A19="","",Config_Coil!A19)</f>
        <v/>
      </c>
      <c r="B19" s="23">
        <f>IF(Config_Coil!A19="","",Electrique!B19)</f>
        <v/>
      </c>
      <c r="C19" s="25" t="n"/>
      <c r="D19" s="26">
        <f>IF(OR(A19="",C19="",C19=0),"",(C19-B19)/B19*100)</f>
        <v/>
      </c>
      <c r="E19" s="9">
        <f>IF(Config_Coil!A19="","",Config_Coil!F19)</f>
        <v/>
      </c>
      <c r="F19" s="9">
        <f>IF(OR(A19="",C19="",C19=0),"",2*SQRT(Electrique!$B$2*Bobinage_Fabrication!C19/(C19*PI()))*1000)</f>
        <v/>
      </c>
      <c r="G19" s="9">
        <f>IF(F19="","",F19-E19)</f>
        <v/>
      </c>
    </row>
    <row r="20" ht="15" customHeight="1" s="28">
      <c r="A20" s="15">
        <f>IF(Config_Coil!A20="","",Config_Coil!A20)</f>
        <v/>
      </c>
      <c r="B20" s="23">
        <f>IF(Config_Coil!A20="","",Electrique!B20)</f>
        <v/>
      </c>
      <c r="C20" s="25" t="n"/>
      <c r="D20" s="26">
        <f>IF(OR(A20="",C20="",C20=0),"",(C20-B20)/B20*100)</f>
        <v/>
      </c>
      <c r="E20" s="9">
        <f>IF(Config_Coil!A20="","",Config_Coil!F20)</f>
        <v/>
      </c>
      <c r="F20" s="9">
        <f>IF(OR(A20="",C20="",C20=0),"",2*SQRT(Electrique!$B$2*Bobinage_Fabrication!C20/(C20*PI()))*1000)</f>
        <v/>
      </c>
      <c r="G20" s="9">
        <f>IF(F20="","",F20-E20)</f>
        <v/>
      </c>
    </row>
    <row r="21" ht="15" customHeight="1" s="28">
      <c r="A21" s="15">
        <f>IF(Config_Coil!A21="","",Config_Coil!A21)</f>
        <v/>
      </c>
      <c r="B21" s="23">
        <f>IF(Config_Coil!A21="","",Electrique!B21)</f>
        <v/>
      </c>
      <c r="C21" s="25" t="n"/>
      <c r="D21" s="26">
        <f>IF(OR(A21="",C21="",C21=0),"",(C21-B21)/B21*100)</f>
        <v/>
      </c>
      <c r="E21" s="9">
        <f>IF(Config_Coil!A21="","",Config_Coil!F21)</f>
        <v/>
      </c>
      <c r="F21" s="9">
        <f>IF(OR(A21="",C21="",C21=0),"",2*SQRT(Electrique!$B$2*Bobinage_Fabrication!C21/(C21*PI()))*1000)</f>
        <v/>
      </c>
      <c r="G21" s="9">
        <f>IF(F21="","",F21-E21)</f>
        <v/>
      </c>
    </row>
    <row r="22" ht="15" customHeight="1" s="28">
      <c r="A22" s="15">
        <f>IF(Config_Coil!A22="","",Config_Coil!A22)</f>
        <v/>
      </c>
      <c r="B22" s="23">
        <f>IF(Config_Coil!A22="","",Electrique!B22)</f>
        <v/>
      </c>
      <c r="C22" s="25" t="n"/>
      <c r="D22" s="26">
        <f>IF(OR(A22="",C22="",C22=0),"",(C22-B22)/B22*100)</f>
        <v/>
      </c>
      <c r="E22" s="9">
        <f>IF(Config_Coil!A22="","",Config_Coil!F22)</f>
        <v/>
      </c>
      <c r="F22" s="9">
        <f>IF(OR(A22="",C22="",C22=0),"",2*SQRT(Electrique!$B$2*Bobinage_Fabrication!C22/(C22*PI()))*1000)</f>
        <v/>
      </c>
      <c r="G22" s="9">
        <f>IF(F22="","",F22-E22)</f>
        <v/>
      </c>
    </row>
    <row r="23" ht="15" customHeight="1" s="28">
      <c r="A23" s="15">
        <f>IF(Config_Coil!A23="","",Config_Coil!A23)</f>
        <v/>
      </c>
      <c r="B23" s="23">
        <f>IF(Config_Coil!A23="","",Electrique!B23)</f>
        <v/>
      </c>
      <c r="C23" s="25" t="n"/>
      <c r="D23" s="26">
        <f>IF(OR(A23="",C23="",C23=0),"",(C23-B23)/B23*100)</f>
        <v/>
      </c>
      <c r="E23" s="9">
        <f>IF(Config_Coil!A23="","",Config_Coil!F23)</f>
        <v/>
      </c>
      <c r="F23" s="9">
        <f>IF(OR(A23="",C23="",C23=0),"",2*SQRT(Electrique!$B$2*Bobinage_Fabrication!C23/(C23*PI()))*1000)</f>
        <v/>
      </c>
      <c r="G23" s="9">
        <f>IF(F23="","",F23-E23)</f>
        <v/>
      </c>
    </row>
    <row r="24" ht="15" customHeight="1" s="28">
      <c r="A24" s="15">
        <f>IF(Config_Coil!A24="","",Config_Coil!A24)</f>
        <v/>
      </c>
      <c r="B24" s="23">
        <f>IF(Config_Coil!A24="","",Electrique!B24)</f>
        <v/>
      </c>
      <c r="C24" s="25" t="n"/>
      <c r="D24" s="26">
        <f>IF(OR(A24="",C24="",C24=0),"",(C24-B24)/B24*100)</f>
        <v/>
      </c>
      <c r="E24" s="9">
        <f>IF(Config_Coil!A24="","",Config_Coil!F24)</f>
        <v/>
      </c>
      <c r="F24" s="9">
        <f>IF(OR(A24="",C24="",C24=0),"",2*SQRT(Electrique!$B$2*Bobinage_Fabrication!C24/(C24*PI()))*1000)</f>
        <v/>
      </c>
      <c r="G24" s="9">
        <f>IF(F24="","",F24-E24)</f>
        <v/>
      </c>
    </row>
    <row r="25" ht="15" customHeight="1" s="28">
      <c r="A25" s="15">
        <f>IF(Config_Coil!A25="","",Config_Coil!A25)</f>
        <v/>
      </c>
      <c r="B25" s="23">
        <f>IF(Config_Coil!A25="","",Electrique!B25)</f>
        <v/>
      </c>
      <c r="C25" s="25" t="n"/>
      <c r="D25" s="26">
        <f>IF(OR(A25="",C25="",C25=0),"",(C25-B25)/B25*100)</f>
        <v/>
      </c>
      <c r="E25" s="9">
        <f>IF(Config_Coil!A25="","",Config_Coil!F25)</f>
        <v/>
      </c>
      <c r="F25" s="9">
        <f>IF(OR(A25="",C25="",C25=0),"",2*SQRT(Electrique!$B$2*Bobinage_Fabrication!C25/(C25*PI()))*1000)</f>
        <v/>
      </c>
      <c r="G25" s="9">
        <f>IF(F25="","",F25-E25)</f>
        <v/>
      </c>
    </row>
  </sheetData>
  <mergeCells count="2">
    <mergeCell ref="A1:G1"/>
    <mergeCell ref="A2:G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2026-08-19T07:46:55Z</dcterms:created>
  <dcterms:modified xmlns:dcterms="http://purl.org/dc/terms/" xmlns:xsi="http://www.w3.org/2001/XMLSchema-instance" xsi:type="dcterms:W3CDTF">2026-10-07T10:59:26Z</dcterms:modified>
  <cp:lastModifiedBy>Martin Drillon</cp:lastModifiedBy>
  <cp:revision>0</cp:revision>
</cp:coreProperties>
</file>